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ngc-my.sharepoint.us/personal/nicholas_georgeson_ngc_com/Documents/Desktop/"/>
    </mc:Choice>
  </mc:AlternateContent>
  <xr:revisionPtr revIDLastSave="4236" documentId="8_{8D13B3F0-1C3F-40C0-8B4C-18F0B59B9AAD}" xr6:coauthVersionLast="47" xr6:coauthVersionMax="47" xr10:uidLastSave="{597198A9-1E88-42D2-A1F6-5AD7DE80836B}"/>
  <bookViews>
    <workbookView xWindow="21135" yWindow="4725" windowWidth="28770" windowHeight="15450" xr2:uid="{6E4A0052-04F6-4ADB-909D-C64E5716C151}"/>
  </bookViews>
  <sheets>
    <sheet name="Source" sheetId="1" r:id="rId1"/>
    <sheet name="Historical" sheetId="8" r:id="rId2"/>
    <sheet name="Helper" sheetId="2" r:id="rId3"/>
    <sheet name="ReportSettings" sheetId="9" r:id="rId4"/>
  </sheets>
  <definedNames>
    <definedName name="_xleta.MATCH" hidden="1" xlm="1">#NAME?</definedName>
    <definedName name="_xleta.TODA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5" i="1" l="1"/>
  <c r="H25" i="1"/>
  <c r="J24" i="1"/>
  <c r="H24" i="1"/>
  <c r="G23" i="1"/>
  <c r="K23" i="1" s="1"/>
  <c r="H23" i="1"/>
  <c r="J23" i="1"/>
  <c r="G22" i="1"/>
  <c r="I22" i="1" s="1"/>
  <c r="H22" i="1"/>
  <c r="J22" i="1"/>
  <c r="G21" i="1"/>
  <c r="I21" i="1" s="1"/>
  <c r="H21" i="1"/>
  <c r="J21" i="1"/>
  <c r="G20" i="1"/>
  <c r="I25" i="1" l="1"/>
  <c r="K25" i="1"/>
  <c r="J25" i="1"/>
  <c r="K22" i="1"/>
  <c r="K21" i="1"/>
  <c r="G24" i="1"/>
  <c r="I23" i="1"/>
  <c r="K20" i="1"/>
  <c r="I20" i="1"/>
  <c r="J20" i="1"/>
  <c r="H20" i="1"/>
  <c r="I24" i="1" l="1"/>
  <c r="K24" i="1"/>
  <c r="G19" i="1"/>
  <c r="G18" i="1"/>
  <c r="H18" i="1"/>
  <c r="G17" i="1"/>
  <c r="H17" i="1"/>
  <c r="J17" i="1"/>
  <c r="G16" i="1"/>
  <c r="G15" i="1"/>
  <c r="J15" i="1"/>
  <c r="G14" i="1"/>
  <c r="H14" i="1"/>
  <c r="J14" i="1"/>
  <c r="I19" i="1" l="1"/>
  <c r="K19" i="1"/>
  <c r="J19" i="1"/>
  <c r="H19" i="1"/>
  <c r="I18" i="1"/>
  <c r="K18" i="1"/>
  <c r="J18" i="1"/>
  <c r="I17" i="1"/>
  <c r="K17" i="1"/>
  <c r="I16" i="1"/>
  <c r="K16" i="1"/>
  <c r="J16" i="1"/>
  <c r="H16" i="1"/>
  <c r="I15" i="1"/>
  <c r="K15" i="1"/>
  <c r="H15" i="1"/>
  <c r="I14" i="1"/>
  <c r="K14" i="1"/>
  <c r="G13" i="1" l="1"/>
  <c r="I13" i="1" l="1"/>
  <c r="K13" i="1"/>
  <c r="J13" i="1"/>
  <c r="H13" i="1"/>
  <c r="J12" i="1" l="1"/>
  <c r="H12" i="1"/>
  <c r="G11" i="1"/>
  <c r="H11" i="1"/>
  <c r="J11" i="1"/>
  <c r="G10" i="1"/>
  <c r="G9" i="1"/>
  <c r="H9" i="1"/>
  <c r="J9" i="1"/>
  <c r="G12" i="1" l="1"/>
  <c r="I11" i="1"/>
  <c r="K11" i="1"/>
  <c r="I10" i="1"/>
  <c r="K10" i="1"/>
  <c r="J10" i="1"/>
  <c r="H10" i="1"/>
  <c r="I9" i="1"/>
  <c r="K9" i="1"/>
  <c r="I12" i="1" l="1"/>
  <c r="K12" i="1"/>
  <c r="J8" i="1"/>
  <c r="G8" i="1"/>
  <c r="K8" i="1" s="1"/>
  <c r="H8" i="1"/>
  <c r="I8" i="1" l="1"/>
  <c r="J7" i="1" l="1"/>
  <c r="G7" i="1"/>
  <c r="I7" i="1" s="1"/>
  <c r="H7" i="1"/>
  <c r="G6" i="1"/>
  <c r="H6" i="1"/>
  <c r="G5" i="1"/>
  <c r="K7" i="1" l="1"/>
  <c r="I6" i="1"/>
  <c r="K6" i="1"/>
  <c r="J6" i="1"/>
  <c r="H5" i="1"/>
  <c r="J5" i="1"/>
  <c r="I5" i="1"/>
  <c r="K5" i="1"/>
  <c r="H2" i="1" l="1"/>
  <c r="J2" i="1"/>
  <c r="H3" i="1"/>
  <c r="J3" i="1"/>
  <c r="G2" i="1"/>
  <c r="K2" i="1" s="1"/>
  <c r="G3" i="1"/>
  <c r="K3" i="1" s="1"/>
  <c r="H4" i="1"/>
  <c r="I2" i="1" l="1"/>
  <c r="I3" i="1"/>
  <c r="G4" i="1"/>
  <c r="K4" i="1" s="1"/>
  <c r="J4" i="1"/>
  <c r="I4" i="1" l="1"/>
</calcChain>
</file>

<file path=xl/sharedStrings.xml><?xml version="1.0" encoding="utf-8"?>
<sst xmlns="http://schemas.openxmlformats.org/spreadsheetml/2006/main" count="1066" uniqueCount="242">
  <si>
    <t>Date</t>
  </si>
  <si>
    <t>Description</t>
  </si>
  <si>
    <t>Status</t>
  </si>
  <si>
    <t>Notes</t>
  </si>
  <si>
    <t>WeekNo</t>
  </si>
  <si>
    <t>WeekStart</t>
  </si>
  <si>
    <t>TaskID</t>
  </si>
  <si>
    <t xml:space="preserve">Locate a POC for Bodie that knows the NGC process for obtaining discrete frequencies </t>
  </si>
  <si>
    <t>Update GMR 1-2 Deck with slide 8 and provide James with Corss sector POCs</t>
  </si>
  <si>
    <t>Meet with Jamie to review slide and verify the POC's for the GMR team update</t>
  </si>
  <si>
    <t>In-Work</t>
  </si>
  <si>
    <t>Pending</t>
  </si>
  <si>
    <t xml:space="preserve">Follow up with Bodie on the outcome of the discrete frequency request </t>
  </si>
  <si>
    <t>Category</t>
  </si>
  <si>
    <t>PS</t>
  </si>
  <si>
    <t>TACAMO</t>
  </si>
  <si>
    <t>VBA</t>
  </si>
  <si>
    <t>Python</t>
  </si>
  <si>
    <t>Facilities</t>
  </si>
  <si>
    <t>Promotion</t>
  </si>
  <si>
    <t>T&amp;E</t>
  </si>
  <si>
    <t>Complete</t>
  </si>
  <si>
    <t>Garcia, Avalito D [US] (AS)</t>
  </si>
  <si>
    <t>Nimbus EOL</t>
  </si>
  <si>
    <t>Confirm need for addition to current diagrams:https://nimbusweb.as.northgrum.com/Nimbus/CtrlWebIsapi.dll/app/diagram/0:9820E23DD3204072819C50B7A2E57093.8F73D90B7CD24A0B959BBD228C068626</t>
  </si>
  <si>
    <t xml:space="preserve">TPS Diagram Creation support </t>
  </si>
  <si>
    <t>Admin</t>
  </si>
  <si>
    <t>Discuss the Date column with Magee and confirm need to update for all docs</t>
  </si>
  <si>
    <t>Update URL Doc Viewer permissions to remove extra people</t>
  </si>
  <si>
    <t>Barry Benton, Jason Gates, Thomas Blachman, Angela Bernier, Kimberly Pringle</t>
  </si>
  <si>
    <t>Create Facilities Diagrams for Facilities Planner PrOP</t>
  </si>
  <si>
    <t>O&amp;S Cost Diagrams - Greg Gay</t>
  </si>
  <si>
    <t>Sent Diagrams in email on 11/17 waiting on response</t>
  </si>
  <si>
    <t>See if web scraping will work in SP - if so add functionality to python code for metrics</t>
  </si>
  <si>
    <t>Update Metrics for EOY - Master reports</t>
  </si>
  <si>
    <t xml:space="preserve">Full model promotion after the 12/12 TRB </t>
  </si>
  <si>
    <t>T&amp;E Metrics for Chad</t>
  </si>
  <si>
    <t>Refer to conversation and notes in OneNote</t>
  </si>
  <si>
    <t>Metrics</t>
  </si>
  <si>
    <t>Month</t>
  </si>
  <si>
    <t>Year</t>
  </si>
  <si>
    <t>Day</t>
  </si>
  <si>
    <t>Peer Review Pappy Diagrams</t>
  </si>
  <si>
    <t>Update Tracker Helper to make peer review into a list with Hyperlinks instead of table</t>
  </si>
  <si>
    <t>Cat / David prefer list instead of a table</t>
  </si>
  <si>
    <t>Follow up with Lisa Pole about additional Facilities work</t>
  </si>
  <si>
    <t>Messaged on 11/20</t>
  </si>
  <si>
    <t>Account Upgrade request on 11/24</t>
  </si>
  <si>
    <t>finished on 11/23</t>
  </si>
  <si>
    <t xml:space="preserve">Review Sandbox diagrams with Katie </t>
  </si>
  <si>
    <t>Update the diagrams that Dave Durango / Scott Ellis is on to John Shaffner</t>
  </si>
  <si>
    <t>Coordinate with Lane Larson and Ellen Woodstock about the DS BM POC</t>
  </si>
  <si>
    <t xml:space="preserve">Create initial sandbox Facilities Diagrams for Facilities Planner PrOP </t>
  </si>
  <si>
    <t>Meeting set for 11/24, Ellen (Corporate BM) has a better understanding of the ask and will get the information from the sectors, "hopefully this week".</t>
  </si>
  <si>
    <t>Work with David on DSLID update function</t>
  </si>
  <si>
    <t>Meet with Dave Shea about the BM emails and discuss updates from Lee meeting on slide for GMR 1/2</t>
  </si>
  <si>
    <t>Meet with Chad to discuss the path forward for the Facilities Planning Diagrams</t>
  </si>
  <si>
    <t xml:space="preserve">Meeting set for 11/25
1. How does the feasibility / scenraio study get green light? - BM / Division Leadership sends the request or is validated by them.
2.  Is there a need for a separate Site / Sector Option? - No
3. how would that then get formalized in a SPUR?  Perhaps it would be allowed to inject directly into SPUR 3 or something, since a bunch of the work was already done during the Scenario / Feasibility Study.  In other words, maybe it can enjoy a fast track? - Can be done before SPUR 3 / Facilities Infastructure process / E.G. replace a chiller. Does not go through SPUR. 
4. should this live as a part of SPUR or is this something that happens in parallel? 50-75% of this process ends up going to SPUR  
5. project plans are after the approved SPUR package is handed over to Implement Facilities Project (Master)? Project Plan is a detailed plan on what will be implemented. All project plans are an FRA but not all FRA are a project Plan. FRA goes to SITE SPUR FRA captures the plannning activities and then the site will capture all the details to make it a project plan. FRA can go to site SPUR or at the sector level it can stay there. It depends on the selected option on how robust it is and where it would go. 
There was a large change since Chad designed the diagrams. The old perception was that SPUR was for everything. They have since updated the documens / concept so that this process will run every time with SPUR only being triggered as needed. The majority of the time these requests will not go through SPUR. 40%-60% of the time it will go through SPUR. Channges to existing facilities related items might not need to go through SPUR. SPUR process was re-written after the SPUR diagrams were created. </t>
  </si>
  <si>
    <t xml:space="preserve">Whaty is the criteria for what requires a SPUR
What is the process for service requiests for light bulb change N0-01-05 / Where did that document go? 
Which route do regular requests go (leaky faucet) 
Who is the one evaluating against the criteria 
</t>
  </si>
  <si>
    <t>Account upgrade for Michael Foster replacing Brandon Hull</t>
  </si>
  <si>
    <t>Emailed Jamie, need to verify if he actually needs w/change. OBE not required.</t>
  </si>
  <si>
    <t>Messaged on 11/20, let Chad know and asked him to reach out 11/24. Chad is in the process of discussing the extra hours that she has.</t>
  </si>
  <si>
    <t>Said he figured it out after we met on 11/24</t>
  </si>
  <si>
    <t>No further comments over Cats</t>
  </si>
  <si>
    <t>Needs a refresher on how to use the update DSL Functionality. David said he figured it out after our meeting on 11/24</t>
  </si>
  <si>
    <t>Get answers to the following questions from Katie</t>
  </si>
  <si>
    <t>AJ had a meeting with Lee and wants Dave to update me on the outcome.  Dave on PTO until next week</t>
  </si>
  <si>
    <t>What is the criteria for what requires a SPUR?
What is the process for service requiests for light bulb change N0-01-05 / Where did that document go? 
Which route do regular requests go (leaky faucet)? 
Who is the one evaluating against the criteria? 
What is included in the FRA? 
Emailed on 11/25</t>
  </si>
  <si>
    <t>Update the EOY Metrics for Jamie</t>
  </si>
  <si>
    <t>Macro for Gap analysis is freezing during gap analysis update. Need to verify that the data for the charts is pulled from master not draft.</t>
  </si>
  <si>
    <t>Discuss completion of database backed tracker file with Kyle</t>
  </si>
  <si>
    <t>Updated method for maintaining and using tracker. Need to test and ensure that there are no significant changes from end user perspective.</t>
  </si>
  <si>
    <t>Additional questions for Katie</t>
  </si>
  <si>
    <t>Get examples of the FRA</t>
  </si>
  <si>
    <t xml:space="preserve">Set up scheduled reports on a fake account </t>
  </si>
  <si>
    <t>Create Diagrams for Bodie (TACAMO)</t>
  </si>
  <si>
    <t>Bodie went through SPUR and I am working the facilities planning diagrams which appear to be the process that he followed. I will re-engage when those diagrams are ironed out.</t>
  </si>
  <si>
    <t>On Hold</t>
  </si>
  <si>
    <t>12/12 Promotion prep / execution</t>
  </si>
  <si>
    <t>Final promotion, need to ensure all in-work diagrams are included prior to FMP</t>
  </si>
  <si>
    <t>Update GAP analysis with provided Python code and run on batch server.</t>
  </si>
  <si>
    <t>Provided code will review 12/2 with Kyle to implement</t>
  </si>
  <si>
    <t>Full day meeting on 12/11/25</t>
  </si>
  <si>
    <t>follow up with Katie to get examples of FRA, Project Plan, Spur package etc.</t>
  </si>
  <si>
    <t>Send team In- work Diagram email</t>
  </si>
  <si>
    <t xml:space="preserve">Emailed 12/2 - need to compile all the responses and validate any missing diagrams. </t>
  </si>
  <si>
    <t>Capture RFA's for Aircraft process from Bodie</t>
  </si>
  <si>
    <t xml:space="preserve">Modify Gap analysis file to remove all NG specific items and use Claude to build AI </t>
  </si>
  <si>
    <t>Talked to Jay Dorney and he guided me on how to ensure it is not proprietary</t>
  </si>
  <si>
    <t>Talk to Dixie about the issue where a template is applied and with no change log a different template is on the diagram</t>
  </si>
  <si>
    <t>There are multiple diagrams where standard template was applied but the diagram has in-work template with no CL</t>
  </si>
  <si>
    <t>peer review Develop IFC Strategic Plan (Draft)</t>
  </si>
  <si>
    <t>Replied and discussed with Chad in call.</t>
  </si>
  <si>
    <t>Meet with Chad to see where the new facilities diagrams will live</t>
  </si>
  <si>
    <t>Updated for GAP and will look into Dashboard file also. Cant on NG systems. Need new approach.</t>
  </si>
  <si>
    <t>review attachments with Chad talk about connections and location of new diagrams - After his meeting with another SME on Monday</t>
  </si>
  <si>
    <t>Update package for David with fill down error E0-7138</t>
  </si>
  <si>
    <t>Sent Diagrams in email on 11/17 waiting on response / Sent follow up 12/4</t>
  </si>
  <si>
    <t>Updated method for maintaining and using tracker. Need to test and ensure that there are no significant changes from end user perspective. New update times are 10x faster</t>
  </si>
  <si>
    <t>GMR 1/2 Meeting</t>
  </si>
  <si>
    <t>Approved to send RFP. Asking for a 3+2 contract and still want to ask re-sellers for quotes.</t>
  </si>
  <si>
    <t>Need to create a Nimbus Reports account - Schedule all reports and cancel mine</t>
  </si>
  <si>
    <t>Emailed 12/2, she replied and is gathering the documents. Received - need to review with Chad and discuss connections and location on the new diagrams</t>
  </si>
  <si>
    <t xml:space="preserve">different than the GBA process and has completely different steps. </t>
  </si>
  <si>
    <t>Asking David to verify the right package but appears to be a fill down error on E0-7138</t>
  </si>
  <si>
    <t>Cybersecurity Awareness Certification</t>
  </si>
  <si>
    <t>GAP Analysis file Update</t>
  </si>
  <si>
    <t>Macro Is causing the file to crash since Microsoft updates</t>
  </si>
  <si>
    <t>Cat tracker issues</t>
  </si>
  <si>
    <t>AJ had a meeting with Lee and wants Dave to update me on the outcome.  Dave on PTO until next week. Everything was approved in GMR 1/2 this is now OBE</t>
  </si>
  <si>
    <t>Inputting level numbers that are being overwritten: 1.7.4.2.1, 1.2.8.1, 1.7.4.1.1, 1.12.3.1, 1.2.7.1.1, 1.1.7.2, 1.2.7.1.1.1, 1.2.7.1, 1.9.1.1, 1.2.7. Reaching out to Kyle to verify that the tracker updates are not causing the isssues, however, might be an error where someone on the team is overwriting the old data if they leave the tracker open. New TaskID 40 will track to completion.</t>
  </si>
  <si>
    <t>Work with Kyle to make sure there are no overwrites on the level number with new additions</t>
  </si>
  <si>
    <t>Create a full model errors email that can be sent to the team when needed.</t>
  </si>
  <si>
    <t>There is a need for a weekly/ bi weekly clean up email so that we can clean as we go. This will need to be a VBA code.</t>
  </si>
  <si>
    <t xml:space="preserve">Track new tickets with Tibco - 1 templates changing with no CL </t>
  </si>
  <si>
    <t>Track new tickets with Tibco - 2 Master FLL broken Link from Master to Draft</t>
  </si>
  <si>
    <t>Email sent / Call with Dixie to get ticket created</t>
  </si>
  <si>
    <t xml:space="preserve">Hello and happy Monday! Let me know if clarification needed:
What are the criteria for what requires a SPUR?
•	When a requestor (program or function) has Firm requirements for provisioning or modification of space and/or infrastructure a SPUR is required. This may include:
o	When a location determination is required of where could/should work be performed
o	When space/infrastructure requirements emerge or change including usage, capabilities, capacity, and/or occupancy (i.e. new, increased, decreased, or exit of space/infrastructure)
What is the process for service requests for light bulb change N0-01-05 / Where did that document go? 
•	Is that referenced in Plan Fac? I believe it became N0-0106 (see the section titled: Requesting Facilities Support https://oursites.myngc.com/ENT/Process/AS/Pub/N0-0106.docx)
Which route do regular requests go (leaky faucet)? 
•	See above for overall routing of requests, but repairs go to https://oursites.myngc.com/ENT/Process/AS/Pub/N0-0401_00.docx
Who is the one evaluating against the criteria? 
•	Requestor initially evaluates against the criteria and then per Plan Fac, the Planning POC helps and/or determines routing if they are contacted.
What is included in the FRA?
•	The FRA is a template (Word doc) that includes narrative of requirements &amp; artifacts that summarizes facility and/or real property requirements &amp; facilitation decisions. Relevant associated artifacts are recommended to be linked and/or images/graphics of them included.
•	The FRA could be very simple for the simplest of requests or very complex for complex requests, so the only common elements are the request and requestor (program) details, requirements and GRA (what are assessed), and outcome/output of assessment.
•	If a “project plan” is required, then that includes implementation plan, including funding (BoE, responsibility, type, timing), project schedule, ground rules and assumptions, layouts, FRA, and NGERT. </t>
  </si>
  <si>
    <t>VBA script to make the email and send to entire team on a regular basis.</t>
  </si>
  <si>
    <t xml:space="preserve">Deleted user - Chad White MA diagrams </t>
  </si>
  <si>
    <t xml:space="preserve">Confirm need for addition to current diagrams:https://nimbusweb.as.northgrum.com/Nimbus/CtrlWebIsapi.dll/app/diagram/0:9820E23DD3204072819C50B7A2E57093.8F73D90B7CD24A0B959BBD228C068626 This ended up being a request from another team member and Bodie is not the one handling it. </t>
  </si>
  <si>
    <t>Provided code will review 12/2 with Kyle to implement. This is a long project and will not finish until next year</t>
  </si>
  <si>
    <t xml:space="preserve">Talked to Jay Dorney and he guided me on how to ensure it is not proprietary. Provided code to Kyle and will implement this way to prevent any possible issues. </t>
  </si>
  <si>
    <t>Emailed John Loam and Alex Ryerson to confirm if they are ok with it being on their diagrams 12/8</t>
  </si>
  <si>
    <t xml:space="preserve">Need to consolidate and confirm email responses from team to make sure that they are all accounted for. </t>
  </si>
  <si>
    <t>review attachments with Chad talk about connections and location of new diagrams - After his meeting with another SME on Monday. Meeting held discussing path forward. There are some additional clarification that I need to get from Katie about the interaction between the project plan / FRA/ Planning Package / NGERT</t>
  </si>
  <si>
    <t xml:space="preserve">Meet with Katie to talk about the RFA / Planning Package / NGERT / Project Plan </t>
  </si>
  <si>
    <t xml:space="preserve">Final diagrams sent for approval. Email notifications were turned off so follow up emails required. </t>
  </si>
  <si>
    <t>Where to attach Test Inspection Report Data Item Description (DID) (DI-NDTI-80809)</t>
  </si>
  <si>
    <t>Provide notes to AJ for the Tibco meeting.</t>
  </si>
  <si>
    <t xml:space="preserve">any thoughts or concerns if i forward this meeting to other CIDOPMs from SP/DS/MS? I replied that it would not be of any value for them until Tibco actually gives us the roadmap. </t>
  </si>
  <si>
    <t>Scrape the Tibco Ticket data to review with Mike and Jasleen</t>
  </si>
  <si>
    <t xml:space="preserve">Tibco stated they would do it but want to have all together for the next meeting. </t>
  </si>
  <si>
    <t>2537014 for the template issue | Emailed Jasleen and Mike 12/9</t>
  </si>
  <si>
    <t>2537102 for the phantom links | Emailed Jasleen and Mike 12/9</t>
  </si>
  <si>
    <t>Promo Only Tracker process discussion with Cat</t>
  </si>
  <si>
    <t xml:space="preserve">Meet with Chad to discuss the FRA / Planning Package </t>
  </si>
  <si>
    <t>Email Tibco meeting minutes to cross sector leads / AJ</t>
  </si>
  <si>
    <t>Emailed 12/10</t>
  </si>
  <si>
    <t xml:space="preserve">Need to refresh Cat on template flips, change logs, version roll, tracker completion for Promo Only Process (tracker based) - Updated tracker and spoke with both Davids about the process again. </t>
  </si>
  <si>
    <t>Nothing showing in the logs that would cause the issue. Need to follow up with Cat</t>
  </si>
  <si>
    <t>Add to Pre-Promotion Error Email something to catch any Promo only diagram with Type / Class change on it</t>
  </si>
  <si>
    <t>Find out about Diagnostic Tool zip in tracker folder - delete if not needed</t>
  </si>
  <si>
    <t>What is the Sector level Project plan vs Site level Project Plan</t>
  </si>
  <si>
    <t xml:space="preserve">There is a need for a weekly/ bi weekly clean up email so that we can clean as we go. This will need to be a VBA code. Make sure that in-work diagrams are prioritized with ECD provided for all </t>
  </si>
  <si>
    <t>Get Pappy links for all the PS DID's to attach</t>
  </si>
  <si>
    <t>Action from 12/11 Meeting.</t>
  </si>
  <si>
    <t xml:space="preserve">What is NGERT - Corporate Owned document CTM N202 Enterprise Requirements Collection (Space Programming) Template and is only needed for anything that is a project. Cant have people use the NGERT right now and the name cant change. Only SITE level makes project plan. Milestone Schedule not milestone List. Planning package would not have the NGERT only a Project Planning package. Not applicable to 85% of the planning that they do. if the FRA is filled out then a NGERT might not ever be needed but will be completed when the project is close to completion.
FRA - Facilities requirements and Plan it is more than just specification FRA = Planning package. This will either evolve into something very mature or it will end when only being partially completed. FRA is the planning package. willing to rename FRA to Facilities planning package
This is live and used but they missed it and will have it fixed, hopefully, next week. 
</t>
  </si>
  <si>
    <t>Katie Questions for Planning Package</t>
  </si>
  <si>
    <t xml:space="preserve">Reply to Patty about the tools template </t>
  </si>
  <si>
    <t>Case#2538169 Issue when Promoting</t>
  </si>
  <si>
    <t>Discussed with Krushna in meeting 12/15/25 Dixie to upload PR Copy</t>
  </si>
  <si>
    <t>Tibco</t>
  </si>
  <si>
    <t>give Jamie the list of diagrams and the PrOP linked to it : Level	Diagram Title	Owner	Authorizer	Org
1.11.5.6 Draft Copy	Investigate &amp; Report Event	Jeffrey Kerr	Chad White (Deleted)	Mission Assurance
1.11.5.6.5 Draft Copy	Investigate Incident	Jeffrey Kerr	Chad White (Deleted)	Mission Assurance
1.11.5.6.5.4 Draft Copy	Coordinate Release of Incident Data	Jeffrey Kerr	Chad White (Deleted)	Mission Assurance
1.11.5.6.5.3 Draft Copy	Develop Event Review Team (ERT) Report	Jeffrey Kerr	Chad White (Deleted)	Mission Assurance
1.11.5.6.1 Draft Copy	Conduct Immediate Response	Jeffrey Kerr	Chad White (Deleted)	Mission Assurance
1.11.5.6.4 Draft Copy	Gather Incident Data	Jeffrey Kerr	Chad White (Deleted)	Mission Assurance
Emailed Jamie 12/10 | Replaced Chad with Jamie for the FMP will change with new person when provided</t>
  </si>
  <si>
    <t>Emailed Team 12/10 | No from Chad, David, Cat | Deleted file</t>
  </si>
  <si>
    <t xml:space="preserve">Meet with Tibco 12/15 to Discuss open tickets </t>
  </si>
  <si>
    <t xml:space="preserve">Met with Krushna to cover all the tickets. 1 action Dixie to provide 1 pr copy from 12/11  for them to test. Provided all old case numbers related to FLL </t>
  </si>
  <si>
    <t>Send out the RFP to the team for review Anothony will send by COB 12/15/2025</t>
  </si>
  <si>
    <t>Get Calabro, Tony [US] (AS) &lt;tony.calabro@ngc.com&gt; to sign the sponsor section for network access</t>
  </si>
  <si>
    <t>Pappy emailed 12/15</t>
  </si>
  <si>
    <t xml:space="preserve">Corrective Action for Liaison Engineering storyboard broken </t>
  </si>
  <si>
    <t>Emailed Chad to see if it was his storyboard 12/15</t>
  </si>
  <si>
    <t>Discuss FMP and Tibco Tickets with Jamie</t>
  </si>
  <si>
    <t xml:space="preserve">FMP complete with errors still in the model. </t>
  </si>
  <si>
    <t>Meet with Chad to discuss next steps for facilities diagrams</t>
  </si>
  <si>
    <t xml:space="preserve">Have all answers from the team, need to discuss what needs to be finalized / integrated. </t>
  </si>
  <si>
    <t>Lisa Pole Meeting to discuss Facilities document progress</t>
  </si>
  <si>
    <t>12/17 meeting at 5pm EST</t>
  </si>
  <si>
    <t>Add Fidelity LES</t>
  </si>
  <si>
    <t>Evaluate CFD Model with Unsteady Flow Solution (Master) AB4</t>
  </si>
  <si>
    <t>Weekly Report Settings</t>
  </si>
  <si>
    <t>Setting</t>
  </si>
  <si>
    <t>Value</t>
  </si>
  <si>
    <t>RecipientEmail</t>
  </si>
  <si>
    <t>Primary recipient email address</t>
  </si>
  <si>
    <t>CCEmails</t>
  </si>
  <si>
    <t>CC recipients (comma-separated)</t>
  </si>
  <si>
    <t>LongRunningDays</t>
  </si>
  <si>
    <t>Days before task is flagged as long-running</t>
  </si>
  <si>
    <t>MaxItemsPerSection</t>
  </si>
  <si>
    <t>Maximum items to show in each section</t>
  </si>
  <si>
    <t>AutoDeleteCompleted</t>
  </si>
  <si>
    <t>Yes</t>
  </si>
  <si>
    <t>Auto-delete completed tasks after sending (Yes/No)</t>
  </si>
  <si>
    <t>SpellCheckEnabled</t>
  </si>
  <si>
    <t>Run spell check before sending (Yes/No)</t>
  </si>
  <si>
    <t>IncludeDueDates</t>
  </si>
  <si>
    <t>Show due date and overdue tracking (Yes/No)</t>
  </si>
  <si>
    <t>SubjectLine</t>
  </si>
  <si>
    <t>Weekly Progress Report - Week of {WeekStart}</t>
  </si>
  <si>
    <t>Email subject ({WeekStart} = week date)</t>
  </si>
  <si>
    <t>Jamie.Dunham@ngc.com</t>
  </si>
  <si>
    <t>people who have not sent diagrams for authorization / Pre-promo prep</t>
  </si>
  <si>
    <t xml:space="preserve">Discussed with Krushna in meeting 12/15/25 Dixie to upload PR Copy
Dixie is uploading the PR copy and I have replied to the questions </t>
  </si>
  <si>
    <t>2537102 for the phantom links | Emailed Jasleen and Mike 12/9 | PR copy uploaded with new questions answered 12/15</t>
  </si>
  <si>
    <t xml:space="preserve">2537014 for the template issue | Emailed Jasleen and Mike 12/9 | Discussed with Krushna he will look into it with the engineering team 12/15 | PR copy from 12/11 being uploaded for them to test on. </t>
  </si>
  <si>
    <t xml:space="preserve">Email team weekly tasking tracker and guide after discussing with Jamie. </t>
  </si>
  <si>
    <t xml:space="preserve">Have guide and VBA ready with template for team to use. </t>
  </si>
  <si>
    <t xml:space="preserve">Email Jasleen and Mike about the ticket support interaction </t>
  </si>
  <si>
    <t>unhappy about the support we have received so far (BE Nice)</t>
  </si>
  <si>
    <t>Have the conversation about moving the COP meeting</t>
  </si>
  <si>
    <t>Evaluate CFD Model with Unsteady Flow Solution (Master) AB4   | David added today 12/16 after FMP.</t>
  </si>
  <si>
    <t>FMP complete with errors still in the model. Re- promoted and now no errors are in the master as of 12/16</t>
  </si>
  <si>
    <t>Have all answers from the team, need to discuss what needs to be finalized / integrated. | First half 12/16 will continue 12/17</t>
  </si>
  <si>
    <t>Change Nexus to Sonatype</t>
  </si>
  <si>
    <t>Has updates to Nimbus as part of the package:https://peace-rte.as.northgrum.com/apps/trb_tools/review-change/117/</t>
  </si>
  <si>
    <t xml:space="preserve">Help Cat with URL checker tool in the COP site. </t>
  </si>
  <si>
    <t>Move the time so that Jamie is able to attend . Chad brought it up in the meeting based on Jinger not being able to attend at that time and everyone agreed to bring it forward 30 mins</t>
  </si>
  <si>
    <t xml:space="preserve">Instructions say need admin for power shell to run. Re-made our own hyperlink checker so that we don’t have the same issues. Testing is complete and works without errors. I will need to review with Jamie. New tool created for us to use in the future. Has lots of features with the added benefit of being local and just double click to open the interface. No coding required! </t>
  </si>
  <si>
    <t>Send the Tibco VP confirmation to the cross sector leads r</t>
  </si>
  <si>
    <t>Add the Nimbus EOL folder to the team SP site</t>
  </si>
  <si>
    <t>Emailed the team and added to the Tibco archive in outlook</t>
  </si>
  <si>
    <t>Posted on team SP site</t>
  </si>
  <si>
    <t>Need to make sure that the data is pulled correctly and adds value. 
Needs to be Docx output and match the format of the SIO weekly status file</t>
  </si>
  <si>
    <t xml:space="preserve">update and create a new charging spreadsheet </t>
  </si>
  <si>
    <t xml:space="preserve">12/17 meeting at 5pm EST | Lisa is happy with the progress we have all made and said we can charge as needed to complete anything until the end of the year. </t>
  </si>
  <si>
    <t>Add tracings to Facilities planning, update layout as discussed, send for peer review</t>
  </si>
  <si>
    <t xml:space="preserve">Test Document checking tool. </t>
  </si>
  <si>
    <t xml:space="preserve">Based on Tech writer identity and public standards. Will provide output or edits users choice. </t>
  </si>
  <si>
    <t>Doc 1054 links are wrong. This is a doc ID and needs to be the correct path</t>
  </si>
  <si>
    <t xml:space="preserve">Anthony stated it would be ready COB 12/15 | IM'd at  COB EST and he is still working on it. Follow up 12/16. | Emailed RFP for feedback by COB Thursday 12/18 | No comments returned. </t>
  </si>
  <si>
    <t>Sent Diagrams in email on 11/17 waiting on response / Sent follow up 12/4 | follow up and reply on 12/16 stated he would have an answer by 12/17 \ Followed up 12/18 still no response</t>
  </si>
  <si>
    <t>Add upcoming to the email output for tasking tracker</t>
  </si>
  <si>
    <t>Complete Manager spreadsheet for Jamie</t>
  </si>
  <si>
    <t xml:space="preserve">Need to flag errors for Jamie and provide a clean summary. </t>
  </si>
  <si>
    <t>Statement set out of a document</t>
  </si>
  <si>
    <t>Noone showed up. I was hoping I would be able to talk with Jasleen and Mike about the current tickets.</t>
  </si>
  <si>
    <t xml:space="preserve">Tibco meeting </t>
  </si>
  <si>
    <t xml:space="preserve">Nimbus IPT meeting </t>
  </si>
  <si>
    <t>RFP sent, they asked 3 re-sellers for quotes. No other actions</t>
  </si>
  <si>
    <t xml:space="preserve">Look for commas, and , step action tables, Shalls. Add option to split long scentences.  Sub bullets, role hand offs, try and break down to the lowest level for the statement set. Image in Chads chat. Almost complete, making some minor tweaks to call the tool complete. Includes all 1056 action verbs and other criteria to match both PM/BM documents (Cats feedback) and Chads feedback.  Tool is complete with new web interfacce and is ready to distribute tot he team for testing. </t>
  </si>
  <si>
    <t>tracker updates and doc reg changes for 1/23 TRB</t>
  </si>
  <si>
    <t>promote doc reg #2312 from Draft to Master, then delete doc reg #2314 &amp; #2315 &amp; add 1.11.2.6.9B to tracker(done)</t>
  </si>
  <si>
    <t>2537014 for the template issue | Emailed Jasleen and Mike 12/9 | Discussed with Krushna he will look into it with the engineering team 12/15 | PR copy from 12/11 being uploaded for them to test on. | Not able to duplicate will re-open when it happens again</t>
  </si>
  <si>
    <t xml:space="preserve">Discussed with Krushna in meeting 12/15/25 Dixie to upload PR Copy | They are saying the tool is operating as intended and to let them know if it happens again
Dixie is uploading the PR copy and I have replied to the questions </t>
  </si>
  <si>
    <t>2537102 for the phantom links | Emailed Jasleen and Mike 12/9 | PR copy uploaded with new questions answered 12/15 | New engineering build to be released to us soon with the fix for this</t>
  </si>
  <si>
    <t xml:space="preserve">Based on Tech writer identity and public standards. Will provide output or edits users choice.  | Still in development but well under way. Tool should be ready for production next week. </t>
  </si>
  <si>
    <t>Refer to conversation and notes in OneNote | Starting with role discovery in new document tool</t>
  </si>
  <si>
    <t>Refer to conversation and notes in OneNote | Starting with role discovery in new document tool  | This is being worked in multiple locations with new custom hierarchy SIPOC in python base and additional role extraction from documents in the doc review tool</t>
  </si>
  <si>
    <t>Emailed Chad to see if it was his storyboard 12/15 | moved to the fix folder</t>
  </si>
  <si>
    <t xml:space="preserve">Based on Tech writer identity and public standards. Will provide output or edits users choice.  | Still in development but well under way. Tool should be ready for production next week. | Working through some new feature integration and upgrades for enterprise tool stability (masive upgrade to back end reliability and front end user experience) </t>
  </si>
  <si>
    <t>Sent Diagrams in email on 11/17 waiting on response / Sent follow up 12/4 | follow up and reply on 12/16 stated he would have an answer by 12/17 \ Followed up 12/18 still no response | Sent follow up 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</si>
</sst>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Aptos Narrow"/>
      <family val="2"/>
      <scheme val="minor"/>
    </font>
    <font>
      <sz val="12"/>
      <name val="Segoe UI"/>
      <family val="2"/>
    </font>
    <font>
      <b/>
      <sz val="11"/>
      <color theme="0"/>
      <name val="Aptos Narrow"/>
      <family val="2"/>
      <scheme val="minor"/>
    </font>
    <font>
      <b/>
      <sz val="11"/>
      <color theme="1"/>
      <name val="Aptos Narrow"/>
      <family val="2"/>
      <scheme val="minor"/>
    </font>
    <font>
      <u/>
      <sz val="11"/>
      <color theme="10"/>
      <name val="Aptos Narrow"/>
      <family val="2"/>
      <scheme val="minor"/>
    </font>
    <font>
      <b/>
      <sz val="14"/>
      <color theme="1"/>
      <name val="Aptos Narrow"/>
      <family val="2"/>
      <scheme val="minor"/>
    </font>
  </fonts>
  <fills count="3">
    <fill>
      <patternFill patternType="none"/>
    </fill>
    <fill>
      <patternFill patternType="gray125"/>
    </fill>
    <fill>
      <patternFill patternType="solid">
        <fgColor theme="4"/>
        <bgColor theme="4"/>
      </patternFill>
    </fill>
  </fills>
  <borders count="5">
    <border>
      <left/>
      <right/>
      <top/>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applyNumberFormat="0" applyFill="0" applyBorder="0" applyAlignment="0" applyProtection="0"/>
  </cellStyleXfs>
  <cellXfs count="13">
    <xf numFmtId="0" fontId="0" fillId="0" borderId="0" xfId="0"/>
    <xf numFmtId="14" fontId="0" fillId="0" borderId="0" xfId="0" applyNumberFormat="1"/>
    <xf numFmtId="14" fontId="1" fillId="0" borderId="0" xfId="0" applyNumberFormat="1" applyFont="1"/>
    <xf numFmtId="0" fontId="2" fillId="2" borderId="2" xfId="0" applyFont="1" applyFill="1" applyBorder="1"/>
    <xf numFmtId="0" fontId="2" fillId="2" borderId="3" xfId="0" applyFont="1" applyFill="1" applyBorder="1"/>
    <xf numFmtId="0" fontId="0" fillId="0" borderId="0" xfId="0" applyNumberFormat="1"/>
    <xf numFmtId="0" fontId="0" fillId="0" borderId="0" xfId="0" applyAlignment="1">
      <alignment wrapText="1"/>
    </xf>
    <xf numFmtId="14" fontId="2" fillId="2" borderId="1" xfId="0" applyNumberFormat="1" applyFont="1" applyFill="1" applyBorder="1"/>
    <xf numFmtId="14" fontId="2" fillId="2" borderId="2" xfId="0" applyNumberFormat="1" applyFont="1" applyFill="1" applyBorder="1"/>
    <xf numFmtId="0" fontId="5" fillId="0" borderId="0" xfId="0" applyFont="1"/>
    <xf numFmtId="0" fontId="3" fillId="0" borderId="4" xfId="0" applyFont="1" applyBorder="1"/>
    <xf numFmtId="0" fontId="0" fillId="0" borderId="4" xfId="0" applyBorder="1"/>
    <xf numFmtId="0" fontId="4" fillId="0" borderId="4" xfId="1" applyBorder="1"/>
  </cellXfs>
  <cellStyles count="2">
    <cellStyle name="Hyperlink" xfId="1" builtinId="8"/>
    <cellStyle name="Normal" xfId="0" builtinId="0"/>
  </cellStyles>
  <dxfs count="7">
    <dxf>
      <numFmt numFmtId="0" formatCode="General"/>
    </dxf>
    <dxf>
      <numFmt numFmtId="0" formatCode="General"/>
    </dxf>
    <dxf>
      <numFmt numFmtId="0" formatCode="General"/>
    </dxf>
    <dxf>
      <numFmt numFmtId="0" formatCode="General"/>
    </dxf>
    <dxf>
      <font>
        <strike val="0"/>
        <outline val="0"/>
        <shadow val="0"/>
        <u val="none"/>
        <vertAlign val="baseline"/>
        <sz val="12"/>
        <color auto="1"/>
        <name val="Segoe UI"/>
        <family val="2"/>
        <scheme val="none"/>
      </font>
      <numFmt numFmtId="19" formatCode="m/d/yyyy"/>
    </dxf>
    <dxf>
      <numFmt numFmtId="0" formatCode="General"/>
    </dxf>
    <dxf>
      <numFmt numFmtId="19" formatCode="m/d/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11</xdr:col>
      <xdr:colOff>371475</xdr:colOff>
      <xdr:row>0</xdr:row>
      <xdr:rowOff>95250</xdr:rowOff>
    </xdr:from>
    <xdr:to>
      <xdr:col>13</xdr:col>
      <xdr:colOff>276225</xdr:colOff>
      <xdr:row>2</xdr:row>
      <xdr:rowOff>38100</xdr:rowOff>
    </xdr:to>
    <xdr:sp macro="[0]!PreviewWeeklyReport" textlink="">
      <xdr:nvSpPr>
        <xdr:cNvPr id="2" name="Rectangle: Rounded Corners 1">
          <a:extLst>
            <a:ext uri="{FF2B5EF4-FFF2-40B4-BE49-F238E27FC236}">
              <a16:creationId xmlns:a16="http://schemas.microsoft.com/office/drawing/2014/main" id="{361D0FBF-AE77-957A-D4FB-6D17A967B969}"/>
            </a:ext>
          </a:extLst>
        </xdr:cNvPr>
        <xdr:cNvSpPr/>
      </xdr:nvSpPr>
      <xdr:spPr>
        <a:xfrm>
          <a:off x="18173700" y="95250"/>
          <a:ext cx="1123950" cy="352425"/>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Preview</a:t>
          </a:r>
          <a:r>
            <a:rPr lang="en-US" sz="1100" baseline="0"/>
            <a:t> Email</a:t>
          </a:r>
        </a:p>
      </xdr:txBody>
    </xdr:sp>
    <xdr:clientData/>
  </xdr:twoCellAnchor>
  <xdr:twoCellAnchor>
    <xdr:from>
      <xdr:col>11</xdr:col>
      <xdr:colOff>361949</xdr:colOff>
      <xdr:row>2</xdr:row>
      <xdr:rowOff>180975</xdr:rowOff>
    </xdr:from>
    <xdr:to>
      <xdr:col>13</xdr:col>
      <xdr:colOff>276224</xdr:colOff>
      <xdr:row>4</xdr:row>
      <xdr:rowOff>95250</xdr:rowOff>
    </xdr:to>
    <xdr:sp macro="[0]!SendWeeklyExecutiveReport" textlink="">
      <xdr:nvSpPr>
        <xdr:cNvPr id="3" name="Rectangle: Rounded Corners 2">
          <a:extLst>
            <a:ext uri="{FF2B5EF4-FFF2-40B4-BE49-F238E27FC236}">
              <a16:creationId xmlns:a16="http://schemas.microsoft.com/office/drawing/2014/main" id="{30C1D00D-A8BE-22E2-9426-8D8B955CD999}"/>
            </a:ext>
          </a:extLst>
        </xdr:cNvPr>
        <xdr:cNvSpPr/>
      </xdr:nvSpPr>
      <xdr:spPr>
        <a:xfrm>
          <a:off x="18164174" y="590550"/>
          <a:ext cx="1133475" cy="352425"/>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Send</a:t>
          </a:r>
          <a:r>
            <a:rPr lang="en-US" sz="1100" baseline="0"/>
            <a:t> Email</a:t>
          </a:r>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7FB5ED3-AB17-47FB-819C-06CF2340C7D7}" name="Tasks" displayName="Tasks" ref="A1:K25" totalsRowShown="0">
  <autoFilter ref="A1:K25" xr:uid="{57FB5ED3-AB17-47FB-819C-06CF2340C7D7}"/>
  <tableColumns count="11">
    <tableColumn id="1" xr3:uid="{8089C01B-D271-452A-B57C-F6D197A6AFD0}" name="Date" dataDxfId="6">
      <calculatedColumnFormula>TODAY()</calculatedColumnFormula>
    </tableColumn>
    <tableColumn id="2" xr3:uid="{9C411330-EFFF-41D5-9172-840E29E563B8}" name="TaskID" dataDxfId="5"/>
    <tableColumn id="8" xr3:uid="{99656AE4-4F6B-4466-BA72-A505470B45FE}" name="Category"/>
    <tableColumn id="3" xr3:uid="{5F47F8F2-199D-4E2F-ACA5-894246761E0C}" name="Description"/>
    <tableColumn id="4" xr3:uid="{23785B79-1B50-4D4E-BAAD-B7B8D4E0D4FD}" name="Status"/>
    <tableColumn id="5" xr3:uid="{91237EFC-09BE-4913-96FE-B5D9F968D843}" name="Notes"/>
    <tableColumn id="6" xr3:uid="{D5C51414-38D5-466B-9661-6A75A588C14E}" name="WeekStart" dataDxfId="4">
      <calculatedColumnFormula>A2-WEEKDAY(A2,2)+1</calculatedColumnFormula>
    </tableColumn>
    <tableColumn id="7" xr3:uid="{7EC9F5A9-E656-42C3-A7F3-5878584F1C5E}" name="WeekNo" dataDxfId="3">
      <calculatedColumnFormula>WEEKNUM(Tasks[[#This Row],[Date]],2)</calculatedColumnFormula>
    </tableColumn>
    <tableColumn id="9" xr3:uid="{828261B7-9F60-43C3-9794-10D50D222A9E}" name="Month" dataDxfId="2">
      <calculatedColumnFormula>MONTH(Tasks[[#This Row],[WeekStart]])</calculatedColumnFormula>
    </tableColumn>
    <tableColumn id="11" xr3:uid="{CAB09EAE-5248-43B2-9031-ADA7063EAA5E}" name="Day" dataDxfId="1">
      <calculatedColumnFormula>DAY(Tasks[[#This Row],[Date]])</calculatedColumnFormula>
    </tableColumn>
    <tableColumn id="10" xr3:uid="{5D66F0F9-49E5-43CA-8CE3-5E88A6F96816}" name="Year" dataDxfId="0">
      <calculatedColumnFormula>YEAR(Tasks[[#This Row],[WeekStart]])</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hyperlink" Target="mailto:Jamie.Dunham@ngc.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FCC04-F493-433B-A9C3-988198E21A4D}">
  <sheetPr codeName="Sheet1">
    <pageSetUpPr autoPageBreaks="0"/>
  </sheetPr>
  <dimension ref="A1:K25"/>
  <sheetViews>
    <sheetView tabSelected="1" topLeftCell="D1" workbookViewId="0">
      <selection activeCell="F25" sqref="F25"/>
    </sheetView>
  </sheetViews>
  <sheetFormatPr defaultRowHeight="15" x14ac:dyDescent="0.25"/>
  <cols>
    <col min="1" max="1" width="10.42578125" style="1" bestFit="1" customWidth="1"/>
    <col min="2" max="2" width="9.28515625" customWidth="1"/>
    <col min="3" max="3" width="11.7109375" bestFit="1" customWidth="1"/>
    <col min="4" max="4" width="78.140625" bestFit="1" customWidth="1"/>
    <col min="6" max="6" width="96.42578125" customWidth="1"/>
    <col min="7" max="7" width="13.42578125" style="1" bestFit="1" customWidth="1"/>
    <col min="8" max="8" width="11" bestFit="1" customWidth="1"/>
  </cols>
  <sheetData>
    <row r="1" spans="1:11" x14ac:dyDescent="0.25">
      <c r="A1" s="1" t="s">
        <v>0</v>
      </c>
      <c r="B1" t="s">
        <v>6</v>
      </c>
      <c r="C1" t="s">
        <v>13</v>
      </c>
      <c r="D1" t="s">
        <v>1</v>
      </c>
      <c r="E1" t="s">
        <v>2</v>
      </c>
      <c r="F1" t="s">
        <v>3</v>
      </c>
      <c r="G1" s="1" t="s">
        <v>5</v>
      </c>
      <c r="H1" t="s">
        <v>4</v>
      </c>
      <c r="I1" t="s">
        <v>39</v>
      </c>
      <c r="J1" t="s">
        <v>41</v>
      </c>
      <c r="K1" t="s">
        <v>40</v>
      </c>
    </row>
    <row r="2" spans="1:11" ht="17.25" x14ac:dyDescent="0.3">
      <c r="A2" s="1">
        <v>45979</v>
      </c>
      <c r="B2">
        <v>6</v>
      </c>
      <c r="C2" t="s">
        <v>14</v>
      </c>
      <c r="D2" t="s">
        <v>31</v>
      </c>
      <c r="E2" t="s">
        <v>11</v>
      </c>
      <c r="F2" t="s">
        <v>241</v>
      </c>
      <c r="G2" s="2">
        <f t="shared" ref="G2:G4" si="0">A2-WEEKDAY(A2,2)+1</f>
        <v>45978</v>
      </c>
      <c r="H2">
        <f>WEEKNUM(Tasks[[#This Row],[Date]],2)</f>
        <v>47</v>
      </c>
      <c r="I2">
        <f>MONTH(Tasks[[#This Row],[WeekStart]])</f>
        <v>11</v>
      </c>
      <c r="J2">
        <f>DAY(Tasks[[#This Row],[Date]])</f>
        <v>18</v>
      </c>
      <c r="K2">
        <f>YEAR(Tasks[[#This Row],[WeekStart]])</f>
        <v>2025</v>
      </c>
    </row>
    <row r="3" spans="1:11" ht="17.25" x14ac:dyDescent="0.3">
      <c r="A3" s="1">
        <v>45979</v>
      </c>
      <c r="B3">
        <v>10</v>
      </c>
      <c r="C3" t="s">
        <v>20</v>
      </c>
      <c r="D3" t="s">
        <v>36</v>
      </c>
      <c r="E3" t="s">
        <v>10</v>
      </c>
      <c r="F3" t="s">
        <v>238</v>
      </c>
      <c r="G3" s="2">
        <f t="shared" si="0"/>
        <v>45978</v>
      </c>
      <c r="H3">
        <f>WEEKNUM(Tasks[[#This Row],[Date]],2)</f>
        <v>47</v>
      </c>
      <c r="I3">
        <f>MONTH(Tasks[[#This Row],[WeekStart]])</f>
        <v>11</v>
      </c>
      <c r="J3">
        <f>DAY(Tasks[[#This Row],[Date]])</f>
        <v>18</v>
      </c>
      <c r="K3">
        <f>YEAR(Tasks[[#This Row],[WeekStart]])</f>
        <v>2025</v>
      </c>
    </row>
    <row r="4" spans="1:11" ht="17.25" x14ac:dyDescent="0.3">
      <c r="A4" s="1">
        <v>45980</v>
      </c>
      <c r="B4">
        <v>12</v>
      </c>
      <c r="C4" t="s">
        <v>16</v>
      </c>
      <c r="D4" t="s">
        <v>43</v>
      </c>
      <c r="E4" t="s">
        <v>77</v>
      </c>
      <c r="F4" t="s">
        <v>44</v>
      </c>
      <c r="G4" s="2">
        <f t="shared" si="0"/>
        <v>45978</v>
      </c>
      <c r="H4">
        <f>WEEKNUM(Tasks[[#This Row],[Date]],2)</f>
        <v>47</v>
      </c>
      <c r="I4">
        <f>MONTH(Tasks[[#This Row],[WeekStart]])</f>
        <v>11</v>
      </c>
      <c r="J4">
        <f>DAY(Tasks[[#This Row],[Date]])</f>
        <v>19</v>
      </c>
      <c r="K4">
        <f>YEAR(Tasks[[#This Row],[WeekStart]])</f>
        <v>2025</v>
      </c>
    </row>
    <row r="5" spans="1:11" ht="17.25" x14ac:dyDescent="0.3">
      <c r="A5" s="1">
        <v>45987</v>
      </c>
      <c r="B5">
        <v>13</v>
      </c>
      <c r="C5" t="s">
        <v>26</v>
      </c>
      <c r="D5" t="s">
        <v>74</v>
      </c>
      <c r="E5" t="s">
        <v>11</v>
      </c>
      <c r="F5" t="s">
        <v>101</v>
      </c>
      <c r="G5" s="2">
        <f>A5-WEEKDAY(A5,2)+1</f>
        <v>45985</v>
      </c>
      <c r="H5" s="5">
        <f>WEEKNUM(Tasks[[#This Row],[Date]],2)</f>
        <v>48</v>
      </c>
      <c r="I5" s="5">
        <f>MONTH(Tasks[[#This Row],[WeekStart]])</f>
        <v>11</v>
      </c>
      <c r="J5" s="5">
        <f>DAY(Tasks[[#This Row],[Date]])</f>
        <v>26</v>
      </c>
      <c r="K5" s="5">
        <f>YEAR(Tasks[[#This Row],[WeekStart]])</f>
        <v>2025</v>
      </c>
    </row>
    <row r="6" spans="1:11" ht="17.25" x14ac:dyDescent="0.3">
      <c r="A6" s="1">
        <v>45992</v>
      </c>
      <c r="B6" s="5">
        <v>25</v>
      </c>
      <c r="C6" t="s">
        <v>15</v>
      </c>
      <c r="D6" t="s">
        <v>75</v>
      </c>
      <c r="E6" t="s">
        <v>77</v>
      </c>
      <c r="F6" t="s">
        <v>76</v>
      </c>
      <c r="G6" s="2">
        <f t="shared" ref="G6:G8" si="1">A6-WEEKDAY(A6,2)+1</f>
        <v>45992</v>
      </c>
      <c r="H6" s="5">
        <f>WEEKNUM(Tasks[[#This Row],[Date]],2)</f>
        <v>49</v>
      </c>
      <c r="I6" s="5">
        <f>MONTH(Tasks[[#This Row],[WeekStart]])</f>
        <v>12</v>
      </c>
      <c r="J6" s="5">
        <f>DAY(Tasks[[#This Row],[Date]])</f>
        <v>1</v>
      </c>
      <c r="K6" s="5">
        <f>YEAR(Tasks[[#This Row],[WeekStart]])</f>
        <v>2025</v>
      </c>
    </row>
    <row r="7" spans="1:11" ht="17.25" x14ac:dyDescent="0.3">
      <c r="A7" s="1">
        <v>45993</v>
      </c>
      <c r="B7" s="5">
        <v>27</v>
      </c>
      <c r="C7" t="s">
        <v>38</v>
      </c>
      <c r="D7" t="s">
        <v>80</v>
      </c>
      <c r="E7" t="s">
        <v>10</v>
      </c>
      <c r="F7" t="s">
        <v>121</v>
      </c>
      <c r="G7" s="2">
        <f t="shared" si="1"/>
        <v>45992</v>
      </c>
      <c r="H7" s="5">
        <f>WEEKNUM(Tasks[[#This Row],[Date]],2)</f>
        <v>49</v>
      </c>
      <c r="I7" s="5">
        <f>MONTH(Tasks[[#This Row],[WeekStart]])</f>
        <v>12</v>
      </c>
      <c r="J7" s="5">
        <f>DAY(Tasks[[#This Row],[Date]])</f>
        <v>2</v>
      </c>
      <c r="K7" s="5">
        <f>YEAR(Tasks[[#This Row],[WeekStart]])</f>
        <v>2025</v>
      </c>
    </row>
    <row r="8" spans="1:11" ht="17.25" x14ac:dyDescent="0.3">
      <c r="A8" s="1">
        <v>45993</v>
      </c>
      <c r="B8" s="5">
        <v>30</v>
      </c>
      <c r="C8" t="s">
        <v>15</v>
      </c>
      <c r="D8" t="s">
        <v>86</v>
      </c>
      <c r="E8" t="s">
        <v>11</v>
      </c>
      <c r="F8" t="s">
        <v>103</v>
      </c>
      <c r="G8" s="2">
        <f t="shared" si="1"/>
        <v>45992</v>
      </c>
      <c r="H8" s="5">
        <f>WEEKNUM(Tasks[[#This Row],[Date]],2)</f>
        <v>49</v>
      </c>
      <c r="I8" s="5">
        <f>MONTH(Tasks[[#This Row],[WeekStart]])</f>
        <v>12</v>
      </c>
      <c r="J8" s="5">
        <f>DAY(Tasks[[#This Row],[Date]])</f>
        <v>2</v>
      </c>
      <c r="K8" s="5">
        <f>YEAR(Tasks[[#This Row],[WeekStart]])</f>
        <v>2025</v>
      </c>
    </row>
    <row r="9" spans="1:11" ht="17.25" x14ac:dyDescent="0.3">
      <c r="A9" s="1">
        <v>45995</v>
      </c>
      <c r="B9" s="5">
        <v>38</v>
      </c>
      <c r="C9" t="s">
        <v>38</v>
      </c>
      <c r="D9" t="s">
        <v>106</v>
      </c>
      <c r="E9" t="s">
        <v>77</v>
      </c>
      <c r="F9" t="s">
        <v>107</v>
      </c>
      <c r="G9" s="2">
        <f t="shared" ref="G9:G11" si="2">A9-WEEKDAY(A9,2)+1</f>
        <v>45992</v>
      </c>
      <c r="H9" s="5">
        <f>WEEKNUM(Tasks[[#This Row],[Date]],2)</f>
        <v>49</v>
      </c>
      <c r="I9" s="5">
        <f>MONTH(Tasks[[#This Row],[WeekStart]])</f>
        <v>12</v>
      </c>
      <c r="J9" s="5">
        <f>DAY(Tasks[[#This Row],[Date]])</f>
        <v>4</v>
      </c>
      <c r="K9" s="5">
        <f>YEAR(Tasks[[#This Row],[WeekStart]])</f>
        <v>2025</v>
      </c>
    </row>
    <row r="10" spans="1:11" ht="17.25" x14ac:dyDescent="0.3">
      <c r="A10" s="1">
        <v>45995</v>
      </c>
      <c r="B10" s="5">
        <v>41</v>
      </c>
      <c r="C10" t="s">
        <v>26</v>
      </c>
      <c r="D10" t="s">
        <v>112</v>
      </c>
      <c r="E10" t="s">
        <v>77</v>
      </c>
      <c r="F10" t="s">
        <v>144</v>
      </c>
      <c r="G10" s="2">
        <f t="shared" si="2"/>
        <v>45992</v>
      </c>
      <c r="H10" s="5">
        <f>WEEKNUM(Tasks[[#This Row],[Date]],2)</f>
        <v>49</v>
      </c>
      <c r="I10" s="5">
        <f>MONTH(Tasks[[#This Row],[WeekStart]])</f>
        <v>12</v>
      </c>
      <c r="J10" s="5">
        <f>DAY(Tasks[[#This Row],[Date]])</f>
        <v>4</v>
      </c>
      <c r="K10" s="5">
        <f>YEAR(Tasks[[#This Row],[WeekStart]])</f>
        <v>2025</v>
      </c>
    </row>
    <row r="11" spans="1:11" ht="17.25" x14ac:dyDescent="0.3">
      <c r="A11" s="1">
        <v>45995</v>
      </c>
      <c r="B11" s="5">
        <v>43</v>
      </c>
      <c r="C11" t="s">
        <v>152</v>
      </c>
      <c r="D11" t="s">
        <v>115</v>
      </c>
      <c r="E11" t="s">
        <v>77</v>
      </c>
      <c r="F11" t="s">
        <v>235</v>
      </c>
      <c r="G11" s="2">
        <f t="shared" si="2"/>
        <v>45992</v>
      </c>
      <c r="H11" s="5">
        <f>WEEKNUM(Tasks[[#This Row],[Date]],2)</f>
        <v>49</v>
      </c>
      <c r="I11" s="5">
        <f>MONTH(Tasks[[#This Row],[WeekStart]])</f>
        <v>12</v>
      </c>
      <c r="J11" s="5">
        <f>DAY(Tasks[[#This Row],[Date]])</f>
        <v>4</v>
      </c>
      <c r="K11" s="5">
        <f>YEAR(Tasks[[#This Row],[WeekStart]])</f>
        <v>2025</v>
      </c>
    </row>
    <row r="12" spans="1:11" ht="17.25" x14ac:dyDescent="0.3">
      <c r="A12" s="1">
        <v>45999</v>
      </c>
      <c r="B12" s="5">
        <v>45</v>
      </c>
      <c r="C12" t="s">
        <v>26</v>
      </c>
      <c r="D12" t="s">
        <v>128</v>
      </c>
      <c r="E12" t="s">
        <v>10</v>
      </c>
      <c r="F12" t="s">
        <v>123</v>
      </c>
      <c r="G12" s="2">
        <f t="shared" ref="G12:G15" si="3">A12-WEEKDAY(A12,2)+1</f>
        <v>45999</v>
      </c>
      <c r="H12" s="5">
        <f>WEEKNUM(Tasks[[#This Row],[Date]],2)</f>
        <v>50</v>
      </c>
      <c r="I12" s="5">
        <f>MONTH(Tasks[[#This Row],[WeekStart]])</f>
        <v>12</v>
      </c>
      <c r="J12" s="5">
        <f>DAY(Tasks[[#This Row],[Date]])</f>
        <v>8</v>
      </c>
      <c r="K12" s="5">
        <f>YEAR(Tasks[[#This Row],[WeekStart]])</f>
        <v>2025</v>
      </c>
    </row>
    <row r="13" spans="1:11" ht="17.25" x14ac:dyDescent="0.3">
      <c r="A13" s="1">
        <v>46000</v>
      </c>
      <c r="B13" s="5">
        <v>49</v>
      </c>
      <c r="C13" t="s">
        <v>23</v>
      </c>
      <c r="D13" t="s">
        <v>131</v>
      </c>
      <c r="E13" t="s">
        <v>11</v>
      </c>
      <c r="F13" t="s">
        <v>132</v>
      </c>
      <c r="G13" s="2">
        <f t="shared" si="3"/>
        <v>45999</v>
      </c>
      <c r="H13" s="5">
        <f>WEEKNUM(Tasks[[#This Row],[Date]],2)</f>
        <v>50</v>
      </c>
      <c r="I13" s="5">
        <f>MONTH(Tasks[[#This Row],[WeekStart]])</f>
        <v>12</v>
      </c>
      <c r="J13" s="5">
        <f>DAY(Tasks[[#This Row],[Date]])</f>
        <v>9</v>
      </c>
      <c r="K13" s="5">
        <f>YEAR(Tasks[[#This Row],[WeekStart]])</f>
        <v>2025</v>
      </c>
    </row>
    <row r="14" spans="1:11" ht="17.25" x14ac:dyDescent="0.3">
      <c r="A14" s="1">
        <v>46001</v>
      </c>
      <c r="B14" s="5">
        <v>54</v>
      </c>
      <c r="C14" t="s">
        <v>26</v>
      </c>
      <c r="D14" t="s">
        <v>141</v>
      </c>
      <c r="E14" t="s">
        <v>11</v>
      </c>
      <c r="G14" s="2">
        <f t="shared" si="3"/>
        <v>45999</v>
      </c>
      <c r="H14" s="5">
        <f>WEEKNUM(Tasks[[#This Row],[Date]],2)</f>
        <v>50</v>
      </c>
      <c r="I14" s="5">
        <f>MONTH(Tasks[[#This Row],[WeekStart]])</f>
        <v>12</v>
      </c>
      <c r="J14" s="5">
        <f>DAY(Tasks[[#This Row],[Date]])</f>
        <v>10</v>
      </c>
      <c r="K14" s="5">
        <f>YEAR(Tasks[[#This Row],[WeekStart]])</f>
        <v>2025</v>
      </c>
    </row>
    <row r="15" spans="1:11" ht="17.25" x14ac:dyDescent="0.3">
      <c r="A15" s="1">
        <v>46002</v>
      </c>
      <c r="B15" s="5">
        <v>56</v>
      </c>
      <c r="C15" t="s">
        <v>14</v>
      </c>
      <c r="D15" t="s">
        <v>145</v>
      </c>
      <c r="E15" t="s">
        <v>10</v>
      </c>
      <c r="F15" t="s">
        <v>146</v>
      </c>
      <c r="G15" s="2">
        <f t="shared" si="3"/>
        <v>45999</v>
      </c>
      <c r="H15" s="5">
        <f>WEEKNUM(Tasks[[#This Row],[Date]],2)</f>
        <v>50</v>
      </c>
      <c r="I15" s="5">
        <f>MONTH(Tasks[[#This Row],[WeekStart]])</f>
        <v>12</v>
      </c>
      <c r="J15" s="5">
        <f>DAY(Tasks[[#This Row],[Date]])</f>
        <v>11</v>
      </c>
      <c r="K15" s="5">
        <f>YEAR(Tasks[[#This Row],[WeekStart]])</f>
        <v>2025</v>
      </c>
    </row>
    <row r="16" spans="1:11" ht="17.25" x14ac:dyDescent="0.3">
      <c r="A16" s="1">
        <v>46002</v>
      </c>
      <c r="B16" s="5">
        <v>57</v>
      </c>
      <c r="C16" t="s">
        <v>14</v>
      </c>
      <c r="D16" t="s">
        <v>149</v>
      </c>
      <c r="E16" t="s">
        <v>11</v>
      </c>
      <c r="G16" s="2">
        <f t="shared" ref="G16:G17" si="4">A16-WEEKDAY(A16,2)+1</f>
        <v>45999</v>
      </c>
      <c r="H16" s="5">
        <f>WEEKNUM(Tasks[[#This Row],[Date]],2)</f>
        <v>50</v>
      </c>
      <c r="I16" s="5">
        <f>MONTH(Tasks[[#This Row],[WeekStart]])</f>
        <v>12</v>
      </c>
      <c r="J16" s="5">
        <f>DAY(Tasks[[#This Row],[Date]])</f>
        <v>11</v>
      </c>
      <c r="K16" s="5">
        <f>YEAR(Tasks[[#This Row],[WeekStart]])</f>
        <v>2025</v>
      </c>
    </row>
    <row r="17" spans="1:11" ht="17.25" x14ac:dyDescent="0.3">
      <c r="A17" s="1">
        <v>46006</v>
      </c>
      <c r="B17" s="5">
        <v>61</v>
      </c>
      <c r="C17" t="s">
        <v>26</v>
      </c>
      <c r="D17" t="s">
        <v>158</v>
      </c>
      <c r="E17" t="s">
        <v>10</v>
      </c>
      <c r="F17" t="s">
        <v>159</v>
      </c>
      <c r="G17" s="2">
        <f t="shared" si="4"/>
        <v>46006</v>
      </c>
      <c r="H17" s="5">
        <f>WEEKNUM(Tasks[[#This Row],[Date]],2)</f>
        <v>51</v>
      </c>
      <c r="I17" s="5">
        <f>MONTH(Tasks[[#This Row],[WeekStart]])</f>
        <v>12</v>
      </c>
      <c r="J17" s="5">
        <f>DAY(Tasks[[#This Row],[Date]])</f>
        <v>15</v>
      </c>
      <c r="K17" s="5">
        <f>YEAR(Tasks[[#This Row],[WeekStart]])</f>
        <v>2025</v>
      </c>
    </row>
    <row r="18" spans="1:11" ht="17.25" x14ac:dyDescent="0.3">
      <c r="A18" s="1">
        <v>46006</v>
      </c>
      <c r="B18" s="5">
        <v>67</v>
      </c>
      <c r="C18" t="s">
        <v>26</v>
      </c>
      <c r="D18" t="s">
        <v>196</v>
      </c>
      <c r="E18" t="s">
        <v>10</v>
      </c>
      <c r="F18" t="s">
        <v>197</v>
      </c>
      <c r="G18" s="2">
        <f t="shared" ref="G18:G19" si="5">A18-WEEKDAY(A18,2)+1</f>
        <v>46006</v>
      </c>
      <c r="H18" s="5">
        <f>WEEKNUM(Tasks[[#This Row],[Date]],2)</f>
        <v>51</v>
      </c>
      <c r="I18" s="5">
        <f>MONTH(Tasks[[#This Row],[WeekStart]])</f>
        <v>12</v>
      </c>
      <c r="J18" s="5">
        <f>DAY(Tasks[[#This Row],[Date]])</f>
        <v>15</v>
      </c>
      <c r="K18" s="5">
        <f>YEAR(Tasks[[#This Row],[WeekStart]])</f>
        <v>2025</v>
      </c>
    </row>
    <row r="19" spans="1:11" ht="17.25" x14ac:dyDescent="0.3">
      <c r="A19" s="1">
        <v>46006</v>
      </c>
      <c r="B19" s="5">
        <v>68</v>
      </c>
      <c r="C19" t="s">
        <v>152</v>
      </c>
      <c r="D19" t="s">
        <v>198</v>
      </c>
      <c r="E19" t="s">
        <v>11</v>
      </c>
      <c r="F19" t="s">
        <v>199</v>
      </c>
      <c r="G19" s="2">
        <f t="shared" si="5"/>
        <v>46006</v>
      </c>
      <c r="H19" s="5">
        <f>WEEKNUM(Tasks[[#This Row],[Date]],2)</f>
        <v>51</v>
      </c>
      <c r="I19" s="5">
        <f>MONTH(Tasks[[#This Row],[WeekStart]])</f>
        <v>12</v>
      </c>
      <c r="J19" s="5">
        <f>DAY(Tasks[[#This Row],[Date]])</f>
        <v>15</v>
      </c>
      <c r="K19" s="5">
        <f>YEAR(Tasks[[#This Row],[WeekStart]])</f>
        <v>2025</v>
      </c>
    </row>
    <row r="20" spans="1:11" ht="17.25" x14ac:dyDescent="0.3">
      <c r="A20" s="1">
        <v>46008</v>
      </c>
      <c r="B20" s="5">
        <v>74</v>
      </c>
      <c r="C20" t="s">
        <v>26</v>
      </c>
      <c r="D20" t="s">
        <v>222</v>
      </c>
      <c r="E20" t="s">
        <v>11</v>
      </c>
      <c r="G20" s="2">
        <f t="shared" ref="G20:G24" si="6">A20-WEEKDAY(A20,2)+1</f>
        <v>46006</v>
      </c>
      <c r="H20" s="5">
        <f>WEEKNUM(Tasks[[#This Row],[Date]],2)</f>
        <v>51</v>
      </c>
      <c r="I20" s="5">
        <f>MONTH(Tasks[[#This Row],[WeekStart]])</f>
        <v>12</v>
      </c>
      <c r="J20" s="5">
        <f>DAY(Tasks[[#This Row],[Date]])</f>
        <v>17</v>
      </c>
      <c r="K20" s="5">
        <f>YEAR(Tasks[[#This Row],[WeekStart]])</f>
        <v>2025</v>
      </c>
    </row>
    <row r="21" spans="1:11" ht="30.75" x14ac:dyDescent="0.3">
      <c r="A21" s="1">
        <v>46008</v>
      </c>
      <c r="B21" s="5">
        <v>75</v>
      </c>
      <c r="C21" t="s">
        <v>26</v>
      </c>
      <c r="D21" t="s">
        <v>223</v>
      </c>
      <c r="E21" t="s">
        <v>11</v>
      </c>
      <c r="F21" s="6" t="s">
        <v>213</v>
      </c>
      <c r="G21" s="2">
        <f t="shared" si="6"/>
        <v>46006</v>
      </c>
      <c r="H21" s="5">
        <f>WEEKNUM(Tasks[[#This Row],[Date]],2)</f>
        <v>51</v>
      </c>
      <c r="I21" s="5">
        <f>MONTH(Tasks[[#This Row],[WeekStart]])</f>
        <v>12</v>
      </c>
      <c r="J21" s="5">
        <f>DAY(Tasks[[#This Row],[Date]])</f>
        <v>17</v>
      </c>
      <c r="K21" s="5">
        <f>YEAR(Tasks[[#This Row],[WeekStart]])</f>
        <v>2025</v>
      </c>
    </row>
    <row r="22" spans="1:11" ht="17.25" x14ac:dyDescent="0.3">
      <c r="A22" s="1">
        <v>46009</v>
      </c>
      <c r="B22" s="5">
        <v>76</v>
      </c>
      <c r="C22" t="s">
        <v>26</v>
      </c>
      <c r="D22" t="s">
        <v>214</v>
      </c>
      <c r="E22" t="s">
        <v>11</v>
      </c>
      <c r="F22" t="s">
        <v>224</v>
      </c>
      <c r="G22" s="2">
        <f t="shared" si="6"/>
        <v>46006</v>
      </c>
      <c r="H22" s="5">
        <f>WEEKNUM(Tasks[[#This Row],[Date]],2)</f>
        <v>51</v>
      </c>
      <c r="I22" s="5">
        <f>MONTH(Tasks[[#This Row],[WeekStart]])</f>
        <v>12</v>
      </c>
      <c r="J22" s="5">
        <f>DAY(Tasks[[#This Row],[Date]])</f>
        <v>18</v>
      </c>
      <c r="K22" s="5">
        <f>YEAR(Tasks[[#This Row],[WeekStart]])</f>
        <v>2025</v>
      </c>
    </row>
    <row r="23" spans="1:11" ht="17.25" x14ac:dyDescent="0.3">
      <c r="A23" s="1">
        <v>46009</v>
      </c>
      <c r="B23" s="5">
        <v>77</v>
      </c>
      <c r="C23" t="s">
        <v>18</v>
      </c>
      <c r="D23" t="s">
        <v>216</v>
      </c>
      <c r="E23" t="s">
        <v>11</v>
      </c>
      <c r="G23" s="2">
        <f t="shared" si="6"/>
        <v>46006</v>
      </c>
      <c r="H23" s="5">
        <f>WEEKNUM(Tasks[[#This Row],[Date]],2)</f>
        <v>51</v>
      </c>
      <c r="I23" s="5">
        <f>MONTH(Tasks[[#This Row],[WeekStart]])</f>
        <v>12</v>
      </c>
      <c r="J23" s="5">
        <f>DAY(Tasks[[#This Row],[Date]])</f>
        <v>18</v>
      </c>
      <c r="K23" s="5">
        <f>YEAR(Tasks[[#This Row],[WeekStart]])</f>
        <v>2025</v>
      </c>
    </row>
    <row r="24" spans="1:11" ht="17.25" x14ac:dyDescent="0.3">
      <c r="A24" s="1">
        <v>46009</v>
      </c>
      <c r="B24" s="5">
        <v>78</v>
      </c>
      <c r="C24" t="s">
        <v>26</v>
      </c>
      <c r="D24" t="s">
        <v>217</v>
      </c>
      <c r="E24" t="s">
        <v>10</v>
      </c>
      <c r="F24" t="s">
        <v>240</v>
      </c>
      <c r="G24" s="2">
        <f t="shared" si="6"/>
        <v>46006</v>
      </c>
      <c r="H24" s="5">
        <f>WEEKNUM(Tasks[[#This Row],[Date]],2)</f>
        <v>51</v>
      </c>
      <c r="I24" s="5">
        <f>MONTH(Tasks[[#This Row],[WeekStart]])</f>
        <v>12</v>
      </c>
      <c r="J24" s="5">
        <f>DAY(Tasks[[#This Row],[Date]])</f>
        <v>18</v>
      </c>
      <c r="K24" s="5">
        <f>YEAR(Tasks[[#This Row],[WeekStart]])</f>
        <v>2025</v>
      </c>
    </row>
    <row r="25" spans="1:11" ht="17.25" x14ac:dyDescent="0.3">
      <c r="A25" s="1">
        <v>46034</v>
      </c>
      <c r="B25" s="5">
        <v>79</v>
      </c>
      <c r="C25" t="s">
        <v>26</v>
      </c>
      <c r="D25" t="s">
        <v>231</v>
      </c>
      <c r="E25" t="s">
        <v>10</v>
      </c>
      <c r="F25" t="s">
        <v>232</v>
      </c>
      <c r="G25" s="2">
        <f>A25-WEEKDAY(A25,2)+1</f>
        <v>46034</v>
      </c>
      <c r="H25" s="5">
        <f>WEEKNUM(Tasks[[#This Row],[Date]],2)</f>
        <v>3</v>
      </c>
      <c r="I25" s="5">
        <f>MONTH(Tasks[[#This Row],[WeekStart]])</f>
        <v>1</v>
      </c>
      <c r="J25" s="5">
        <f>DAY(Tasks[[#This Row],[Date]])</f>
        <v>12</v>
      </c>
      <c r="K25" s="5">
        <f>YEAR(Tasks[[#This Row],[WeekStart]])</f>
        <v>2026</v>
      </c>
    </row>
  </sheetData>
  <dataValidations disablePrompts="1" count="1">
    <dataValidation type="list" allowBlank="1" showInputMessage="1" showErrorMessage="1" sqref="E2:E25" xr:uid="{30BC939C-F51D-4849-B565-B11AE4DA4EE8}">
      <formula1>"In-Work, Pending, On Hold, Complete"</formula1>
    </dataValidation>
  </dataValidations>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4BD28C4-8DE5-43FE-894A-69A6237844B1}">
          <x14:formula1>
            <xm:f>INDIRECT("Helper!A1:A"&amp;COUNTA(Helper!$A:$A))</xm:f>
          </x14:formula1>
          <xm:sqref>C2:C25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70781-E7E1-4F58-9B25-59D6F5377BA0}">
  <sheetPr codeName="Sheet8"/>
  <dimension ref="A1:K240"/>
  <sheetViews>
    <sheetView topLeftCell="A129" workbookViewId="0">
      <selection activeCell="C158" sqref="C158"/>
    </sheetView>
  </sheetViews>
  <sheetFormatPr defaultRowHeight="15" x14ac:dyDescent="0.25"/>
  <cols>
    <col min="1" max="1" width="10.42578125" bestFit="1" customWidth="1"/>
    <col min="2" max="2" width="7" bestFit="1" customWidth="1"/>
    <col min="3" max="3" width="11.7109375" bestFit="1" customWidth="1"/>
    <col min="4" max="4" width="78.140625" bestFit="1" customWidth="1"/>
    <col min="5" max="5" width="9.28515625" bestFit="1" customWidth="1"/>
    <col min="6" max="6" width="186" bestFit="1" customWidth="1"/>
    <col min="7" max="7" width="10.42578125" bestFit="1" customWidth="1"/>
    <col min="8" max="8" width="8.28515625" bestFit="1" customWidth="1"/>
    <col min="9" max="9" width="6.5703125" bestFit="1" customWidth="1"/>
    <col min="10" max="10" width="4.28515625" bestFit="1" customWidth="1"/>
    <col min="11" max="11" width="5" bestFit="1" customWidth="1"/>
  </cols>
  <sheetData>
    <row r="1" spans="1:11" x14ac:dyDescent="0.25">
      <c r="A1" s="7" t="s">
        <v>0</v>
      </c>
      <c r="B1" s="3" t="s">
        <v>6</v>
      </c>
      <c r="C1" s="3" t="s">
        <v>13</v>
      </c>
      <c r="D1" s="3" t="s">
        <v>1</v>
      </c>
      <c r="E1" s="3" t="s">
        <v>2</v>
      </c>
      <c r="F1" s="3" t="s">
        <v>3</v>
      </c>
      <c r="G1" s="8" t="s">
        <v>5</v>
      </c>
      <c r="H1" s="3" t="s">
        <v>4</v>
      </c>
      <c r="I1" s="3" t="s">
        <v>39</v>
      </c>
      <c r="J1" s="3" t="s">
        <v>41</v>
      </c>
      <c r="K1" s="4" t="s">
        <v>40</v>
      </c>
    </row>
    <row r="2" spans="1:11" x14ac:dyDescent="0.25">
      <c r="A2" s="1">
        <v>45979</v>
      </c>
      <c r="B2">
        <v>1</v>
      </c>
      <c r="C2" t="s">
        <v>23</v>
      </c>
      <c r="D2" t="s">
        <v>12</v>
      </c>
      <c r="E2" t="s">
        <v>11</v>
      </c>
      <c r="F2" t="s">
        <v>24</v>
      </c>
      <c r="G2" s="1">
        <v>45978</v>
      </c>
      <c r="H2">
        <v>47</v>
      </c>
      <c r="I2">
        <v>11</v>
      </c>
      <c r="J2">
        <v>18</v>
      </c>
      <c r="K2">
        <v>2025</v>
      </c>
    </row>
    <row r="3" spans="1:11" x14ac:dyDescent="0.25">
      <c r="A3" s="1">
        <v>45979</v>
      </c>
      <c r="B3">
        <v>2</v>
      </c>
      <c r="C3" t="s">
        <v>14</v>
      </c>
      <c r="D3" t="s">
        <v>25</v>
      </c>
      <c r="E3" t="s">
        <v>10</v>
      </c>
      <c r="G3" s="1">
        <v>45978</v>
      </c>
      <c r="H3">
        <v>47</v>
      </c>
      <c r="I3">
        <v>11</v>
      </c>
      <c r="J3">
        <v>18</v>
      </c>
      <c r="K3">
        <v>2025</v>
      </c>
    </row>
    <row r="4" spans="1:11" x14ac:dyDescent="0.25">
      <c r="A4" s="1">
        <v>45979</v>
      </c>
      <c r="B4">
        <v>3</v>
      </c>
      <c r="C4" t="s">
        <v>26</v>
      </c>
      <c r="D4" t="s">
        <v>27</v>
      </c>
      <c r="E4" t="s">
        <v>11</v>
      </c>
      <c r="G4" s="1">
        <v>45978</v>
      </c>
      <c r="H4">
        <v>47</v>
      </c>
      <c r="I4">
        <v>11</v>
      </c>
      <c r="J4">
        <v>18</v>
      </c>
      <c r="K4">
        <v>2025</v>
      </c>
    </row>
    <row r="5" spans="1:11" x14ac:dyDescent="0.25">
      <c r="A5" s="1">
        <v>45979</v>
      </c>
      <c r="B5">
        <v>4</v>
      </c>
      <c r="C5" t="s">
        <v>26</v>
      </c>
      <c r="D5" t="s">
        <v>28</v>
      </c>
      <c r="E5" t="s">
        <v>11</v>
      </c>
      <c r="F5" t="s">
        <v>29</v>
      </c>
      <c r="G5" s="1">
        <v>45978</v>
      </c>
      <c r="H5">
        <v>47</v>
      </c>
      <c r="I5">
        <v>11</v>
      </c>
      <c r="J5">
        <v>18</v>
      </c>
      <c r="K5">
        <v>2025</v>
      </c>
    </row>
    <row r="6" spans="1:11" x14ac:dyDescent="0.25">
      <c r="A6" s="1">
        <v>45979</v>
      </c>
      <c r="B6">
        <v>5</v>
      </c>
      <c r="C6" t="s">
        <v>18</v>
      </c>
      <c r="D6" t="s">
        <v>30</v>
      </c>
      <c r="E6" t="s">
        <v>10</v>
      </c>
      <c r="G6" s="1">
        <v>45978</v>
      </c>
      <c r="H6">
        <v>47</v>
      </c>
      <c r="I6">
        <v>11</v>
      </c>
      <c r="J6">
        <v>18</v>
      </c>
      <c r="K6">
        <v>2025</v>
      </c>
    </row>
    <row r="7" spans="1:11" x14ac:dyDescent="0.25">
      <c r="A7" s="1">
        <v>45979</v>
      </c>
      <c r="B7">
        <v>6</v>
      </c>
      <c r="C7" t="s">
        <v>14</v>
      </c>
      <c r="D7" t="s">
        <v>31</v>
      </c>
      <c r="E7" t="s">
        <v>11</v>
      </c>
      <c r="F7" t="s">
        <v>32</v>
      </c>
      <c r="G7" s="1">
        <v>45978</v>
      </c>
      <c r="H7">
        <v>47</v>
      </c>
      <c r="I7">
        <v>11</v>
      </c>
      <c r="J7">
        <v>18</v>
      </c>
      <c r="K7">
        <v>2025</v>
      </c>
    </row>
    <row r="8" spans="1:11" x14ac:dyDescent="0.25">
      <c r="A8" s="1">
        <v>45979</v>
      </c>
      <c r="B8">
        <v>7</v>
      </c>
      <c r="C8" t="s">
        <v>17</v>
      </c>
      <c r="D8" t="s">
        <v>33</v>
      </c>
      <c r="E8" t="s">
        <v>11</v>
      </c>
      <c r="G8" s="1">
        <v>45978</v>
      </c>
      <c r="H8">
        <v>47</v>
      </c>
      <c r="I8">
        <v>11</v>
      </c>
      <c r="J8">
        <v>18</v>
      </c>
      <c r="K8">
        <v>2025</v>
      </c>
    </row>
    <row r="9" spans="1:11" x14ac:dyDescent="0.25">
      <c r="A9" s="1">
        <v>45979</v>
      </c>
      <c r="B9">
        <v>8</v>
      </c>
      <c r="C9" t="s">
        <v>38</v>
      </c>
      <c r="D9" t="s">
        <v>34</v>
      </c>
      <c r="E9" t="s">
        <v>11</v>
      </c>
      <c r="G9" s="1">
        <v>45978</v>
      </c>
      <c r="H9">
        <v>47</v>
      </c>
      <c r="I9">
        <v>11</v>
      </c>
      <c r="J9">
        <v>18</v>
      </c>
      <c r="K9">
        <v>2025</v>
      </c>
    </row>
    <row r="10" spans="1:11" x14ac:dyDescent="0.25">
      <c r="A10" s="1">
        <v>45979</v>
      </c>
      <c r="B10">
        <v>9</v>
      </c>
      <c r="C10" t="s">
        <v>26</v>
      </c>
      <c r="D10" t="s">
        <v>35</v>
      </c>
      <c r="E10" t="s">
        <v>11</v>
      </c>
      <c r="G10" s="1">
        <v>45978</v>
      </c>
      <c r="H10">
        <v>47</v>
      </c>
      <c r="I10">
        <v>11</v>
      </c>
      <c r="J10">
        <v>18</v>
      </c>
      <c r="K10">
        <v>2025</v>
      </c>
    </row>
    <row r="11" spans="1:11" x14ac:dyDescent="0.25">
      <c r="A11" s="1">
        <v>45979</v>
      </c>
      <c r="B11">
        <v>10</v>
      </c>
      <c r="C11" t="s">
        <v>20</v>
      </c>
      <c r="D11" t="s">
        <v>36</v>
      </c>
      <c r="E11" t="s">
        <v>11</v>
      </c>
      <c r="F11" t="s">
        <v>37</v>
      </c>
      <c r="G11" s="1">
        <v>45978</v>
      </c>
      <c r="H11">
        <v>47</v>
      </c>
      <c r="I11">
        <v>11</v>
      </c>
      <c r="J11">
        <v>18</v>
      </c>
      <c r="K11">
        <v>2025</v>
      </c>
    </row>
    <row r="12" spans="1:11" x14ac:dyDescent="0.25">
      <c r="A12" s="1">
        <v>45982</v>
      </c>
      <c r="B12">
        <v>11</v>
      </c>
      <c r="C12" t="s">
        <v>26</v>
      </c>
      <c r="D12" t="s">
        <v>42</v>
      </c>
      <c r="E12" t="s">
        <v>11</v>
      </c>
      <c r="G12" s="1">
        <v>45978</v>
      </c>
      <c r="H12">
        <v>47</v>
      </c>
      <c r="I12">
        <v>11</v>
      </c>
      <c r="J12">
        <v>21</v>
      </c>
      <c r="K12">
        <v>2025</v>
      </c>
    </row>
    <row r="13" spans="1:11" x14ac:dyDescent="0.25">
      <c r="A13" s="1">
        <v>45982</v>
      </c>
      <c r="B13">
        <v>12</v>
      </c>
      <c r="C13" t="s">
        <v>16</v>
      </c>
      <c r="D13" t="s">
        <v>43</v>
      </c>
      <c r="E13" t="s">
        <v>11</v>
      </c>
      <c r="F13" t="s">
        <v>44</v>
      </c>
      <c r="G13" s="1">
        <v>45978</v>
      </c>
      <c r="H13">
        <v>47</v>
      </c>
      <c r="I13">
        <v>11</v>
      </c>
      <c r="J13">
        <v>21</v>
      </c>
      <c r="K13">
        <v>2025</v>
      </c>
    </row>
    <row r="14" spans="1:11" x14ac:dyDescent="0.25">
      <c r="A14" s="1">
        <v>45982</v>
      </c>
      <c r="B14">
        <v>13</v>
      </c>
      <c r="C14" t="s">
        <v>18</v>
      </c>
      <c r="D14" t="s">
        <v>45</v>
      </c>
      <c r="E14" t="s">
        <v>11</v>
      </c>
      <c r="F14" t="s">
        <v>46</v>
      </c>
      <c r="G14" s="1">
        <v>45978</v>
      </c>
      <c r="H14">
        <v>47</v>
      </c>
      <c r="I14">
        <v>11</v>
      </c>
      <c r="J14">
        <v>21</v>
      </c>
      <c r="K14">
        <v>2025</v>
      </c>
    </row>
    <row r="15" spans="1:11" x14ac:dyDescent="0.25">
      <c r="A15" s="1">
        <v>45979</v>
      </c>
      <c r="B15">
        <v>16</v>
      </c>
      <c r="C15" t="s">
        <v>15</v>
      </c>
      <c r="D15" t="s">
        <v>7</v>
      </c>
      <c r="E15" t="s">
        <v>21</v>
      </c>
      <c r="F15" t="s">
        <v>22</v>
      </c>
      <c r="G15" s="1">
        <v>45978</v>
      </c>
      <c r="H15">
        <v>47</v>
      </c>
      <c r="I15">
        <v>11</v>
      </c>
      <c r="J15">
        <v>18</v>
      </c>
      <c r="K15">
        <v>2025</v>
      </c>
    </row>
    <row r="16" spans="1:11" x14ac:dyDescent="0.25">
      <c r="A16" s="1">
        <v>45979</v>
      </c>
      <c r="B16">
        <v>15</v>
      </c>
      <c r="C16" t="s">
        <v>23</v>
      </c>
      <c r="D16" t="s">
        <v>8</v>
      </c>
      <c r="E16" t="s">
        <v>21</v>
      </c>
      <c r="G16" s="1">
        <v>45978</v>
      </c>
      <c r="H16">
        <v>47</v>
      </c>
      <c r="I16">
        <v>11</v>
      </c>
      <c r="J16">
        <v>18</v>
      </c>
      <c r="K16">
        <v>2025</v>
      </c>
    </row>
    <row r="17" spans="1:11" x14ac:dyDescent="0.25">
      <c r="A17" s="1">
        <v>45979</v>
      </c>
      <c r="B17">
        <v>14</v>
      </c>
      <c r="C17" t="s">
        <v>23</v>
      </c>
      <c r="D17" t="s">
        <v>9</v>
      </c>
      <c r="E17" t="s">
        <v>21</v>
      </c>
      <c r="G17" s="1">
        <v>45978</v>
      </c>
      <c r="H17">
        <v>47</v>
      </c>
      <c r="I17">
        <v>11</v>
      </c>
      <c r="J17">
        <v>18</v>
      </c>
      <c r="K17">
        <v>2025</v>
      </c>
    </row>
    <row r="18" spans="1:11" x14ac:dyDescent="0.25">
      <c r="A18" s="1">
        <v>45979</v>
      </c>
      <c r="B18">
        <v>1</v>
      </c>
      <c r="C18" t="s">
        <v>23</v>
      </c>
      <c r="D18" t="s">
        <v>12</v>
      </c>
      <c r="E18" t="s">
        <v>11</v>
      </c>
      <c r="F18" t="s">
        <v>24</v>
      </c>
      <c r="G18" s="1">
        <v>45978</v>
      </c>
      <c r="H18">
        <v>47</v>
      </c>
      <c r="I18">
        <v>11</v>
      </c>
      <c r="J18">
        <v>18</v>
      </c>
      <c r="K18">
        <v>2025</v>
      </c>
    </row>
    <row r="19" spans="1:11" x14ac:dyDescent="0.25">
      <c r="A19" s="1">
        <v>45979</v>
      </c>
      <c r="B19">
        <v>2</v>
      </c>
      <c r="C19" t="s">
        <v>14</v>
      </c>
      <c r="D19" t="s">
        <v>25</v>
      </c>
      <c r="E19" t="s">
        <v>10</v>
      </c>
      <c r="G19" s="1">
        <v>45978</v>
      </c>
      <c r="H19">
        <v>47</v>
      </c>
      <c r="I19">
        <v>11</v>
      </c>
      <c r="J19">
        <v>18</v>
      </c>
      <c r="K19">
        <v>2025</v>
      </c>
    </row>
    <row r="20" spans="1:11" x14ac:dyDescent="0.25">
      <c r="A20" s="1">
        <v>45979</v>
      </c>
      <c r="B20">
        <v>3</v>
      </c>
      <c r="C20" t="s">
        <v>26</v>
      </c>
      <c r="D20" t="s">
        <v>27</v>
      </c>
      <c r="E20" t="s">
        <v>21</v>
      </c>
      <c r="F20" t="s">
        <v>62</v>
      </c>
      <c r="G20" s="1">
        <v>45978</v>
      </c>
      <c r="H20">
        <v>47</v>
      </c>
      <c r="I20">
        <v>11</v>
      </c>
      <c r="J20">
        <v>18</v>
      </c>
      <c r="K20">
        <v>2025</v>
      </c>
    </row>
    <row r="21" spans="1:11" x14ac:dyDescent="0.25">
      <c r="A21" s="1">
        <v>45979</v>
      </c>
      <c r="B21">
        <v>4</v>
      </c>
      <c r="C21" t="s">
        <v>26</v>
      </c>
      <c r="D21" t="s">
        <v>28</v>
      </c>
      <c r="E21" t="s">
        <v>11</v>
      </c>
      <c r="F21" t="s">
        <v>29</v>
      </c>
      <c r="G21" s="1">
        <v>45978</v>
      </c>
      <c r="H21">
        <v>47</v>
      </c>
      <c r="I21">
        <v>11</v>
      </c>
      <c r="J21">
        <v>18</v>
      </c>
      <c r="K21">
        <v>2025</v>
      </c>
    </row>
    <row r="22" spans="1:11" x14ac:dyDescent="0.25">
      <c r="A22" s="1">
        <v>45979</v>
      </c>
      <c r="B22">
        <v>5</v>
      </c>
      <c r="C22" t="s">
        <v>18</v>
      </c>
      <c r="D22" t="s">
        <v>52</v>
      </c>
      <c r="E22" t="s">
        <v>21</v>
      </c>
      <c r="F22" t="s">
        <v>48</v>
      </c>
      <c r="G22" s="1">
        <v>45978</v>
      </c>
      <c r="H22">
        <v>47</v>
      </c>
      <c r="I22">
        <v>11</v>
      </c>
      <c r="J22">
        <v>18</v>
      </c>
      <c r="K22">
        <v>2025</v>
      </c>
    </row>
    <row r="23" spans="1:11" x14ac:dyDescent="0.25">
      <c r="A23" s="1">
        <v>45979</v>
      </c>
      <c r="B23">
        <v>6</v>
      </c>
      <c r="C23" t="s">
        <v>14</v>
      </c>
      <c r="D23" t="s">
        <v>31</v>
      </c>
      <c r="E23" t="s">
        <v>11</v>
      </c>
      <c r="F23" t="s">
        <v>32</v>
      </c>
      <c r="G23" s="1">
        <v>45978</v>
      </c>
      <c r="H23">
        <v>47</v>
      </c>
      <c r="I23">
        <v>11</v>
      </c>
      <c r="J23">
        <v>18</v>
      </c>
      <c r="K23">
        <v>2025</v>
      </c>
    </row>
    <row r="24" spans="1:11" x14ac:dyDescent="0.25">
      <c r="A24" s="1">
        <v>45979</v>
      </c>
      <c r="B24">
        <v>7</v>
      </c>
      <c r="C24" t="s">
        <v>17</v>
      </c>
      <c r="D24" t="s">
        <v>33</v>
      </c>
      <c r="E24" t="s">
        <v>11</v>
      </c>
      <c r="G24" s="1">
        <v>45978</v>
      </c>
      <c r="H24">
        <v>47</v>
      </c>
      <c r="I24">
        <v>11</v>
      </c>
      <c r="J24">
        <v>18</v>
      </c>
      <c r="K24">
        <v>2025</v>
      </c>
    </row>
    <row r="25" spans="1:11" x14ac:dyDescent="0.25">
      <c r="A25" s="1">
        <v>45979</v>
      </c>
      <c r="B25">
        <v>8</v>
      </c>
      <c r="C25" t="s">
        <v>38</v>
      </c>
      <c r="D25" t="s">
        <v>34</v>
      </c>
      <c r="E25" t="s">
        <v>11</v>
      </c>
      <c r="G25" s="1">
        <v>45978</v>
      </c>
      <c r="H25">
        <v>47</v>
      </c>
      <c r="I25">
        <v>11</v>
      </c>
      <c r="J25">
        <v>18</v>
      </c>
      <c r="K25">
        <v>2025</v>
      </c>
    </row>
    <row r="26" spans="1:11" x14ac:dyDescent="0.25">
      <c r="A26" s="1">
        <v>45979</v>
      </c>
      <c r="B26">
        <v>9</v>
      </c>
      <c r="C26" t="s">
        <v>26</v>
      </c>
      <c r="D26" t="s">
        <v>35</v>
      </c>
      <c r="E26" t="s">
        <v>11</v>
      </c>
      <c r="G26" s="1">
        <v>45978</v>
      </c>
      <c r="H26">
        <v>47</v>
      </c>
      <c r="I26">
        <v>11</v>
      </c>
      <c r="J26">
        <v>18</v>
      </c>
      <c r="K26">
        <v>2025</v>
      </c>
    </row>
    <row r="27" spans="1:11" x14ac:dyDescent="0.25">
      <c r="A27" s="1">
        <v>45979</v>
      </c>
      <c r="B27">
        <v>10</v>
      </c>
      <c r="C27" t="s">
        <v>20</v>
      </c>
      <c r="D27" t="s">
        <v>36</v>
      </c>
      <c r="E27" t="s">
        <v>11</v>
      </c>
      <c r="F27" t="s">
        <v>37</v>
      </c>
      <c r="G27" s="1">
        <v>45978</v>
      </c>
      <c r="H27">
        <v>47</v>
      </c>
      <c r="I27">
        <v>11</v>
      </c>
      <c r="J27">
        <v>18</v>
      </c>
      <c r="K27">
        <v>2025</v>
      </c>
    </row>
    <row r="28" spans="1:11" x14ac:dyDescent="0.25">
      <c r="A28" s="1">
        <v>45980</v>
      </c>
      <c r="B28">
        <v>11</v>
      </c>
      <c r="C28" t="s">
        <v>26</v>
      </c>
      <c r="D28" t="s">
        <v>42</v>
      </c>
      <c r="E28" t="s">
        <v>21</v>
      </c>
      <c r="F28" t="s">
        <v>63</v>
      </c>
      <c r="G28" s="1">
        <v>45978</v>
      </c>
      <c r="H28">
        <v>47</v>
      </c>
      <c r="I28">
        <v>11</v>
      </c>
      <c r="J28">
        <v>19</v>
      </c>
      <c r="K28">
        <v>2025</v>
      </c>
    </row>
    <row r="29" spans="1:11" x14ac:dyDescent="0.25">
      <c r="A29" s="1">
        <v>45980</v>
      </c>
      <c r="B29">
        <v>12</v>
      </c>
      <c r="C29" t="s">
        <v>16</v>
      </c>
      <c r="D29" t="s">
        <v>43</v>
      </c>
      <c r="E29" t="s">
        <v>11</v>
      </c>
      <c r="F29" t="s">
        <v>44</v>
      </c>
      <c r="G29" s="1">
        <v>45978</v>
      </c>
      <c r="H29">
        <v>47</v>
      </c>
      <c r="I29">
        <v>11</v>
      </c>
      <c r="J29">
        <v>19</v>
      </c>
      <c r="K29">
        <v>2025</v>
      </c>
    </row>
    <row r="30" spans="1:11" x14ac:dyDescent="0.25">
      <c r="A30" s="1">
        <v>45980</v>
      </c>
      <c r="B30">
        <v>13</v>
      </c>
      <c r="C30" t="s">
        <v>18</v>
      </c>
      <c r="D30" t="s">
        <v>45</v>
      </c>
      <c r="E30" t="s">
        <v>21</v>
      </c>
      <c r="F30" t="s">
        <v>61</v>
      </c>
      <c r="G30" s="1">
        <v>45978</v>
      </c>
      <c r="H30">
        <v>47</v>
      </c>
      <c r="I30">
        <v>11</v>
      </c>
      <c r="J30">
        <v>19</v>
      </c>
      <c r="K30">
        <v>2025</v>
      </c>
    </row>
    <row r="31" spans="1:11" x14ac:dyDescent="0.25">
      <c r="A31" s="1">
        <v>45985</v>
      </c>
      <c r="B31">
        <v>14</v>
      </c>
      <c r="C31" t="s">
        <v>14</v>
      </c>
      <c r="D31" t="s">
        <v>50</v>
      </c>
      <c r="E31" t="s">
        <v>10</v>
      </c>
      <c r="F31" t="s">
        <v>47</v>
      </c>
      <c r="G31" s="1">
        <v>45985</v>
      </c>
      <c r="H31">
        <v>48</v>
      </c>
      <c r="I31">
        <v>11</v>
      </c>
      <c r="J31">
        <v>24</v>
      </c>
      <c r="K31">
        <v>2025</v>
      </c>
    </row>
    <row r="32" spans="1:11" ht="210" x14ac:dyDescent="0.25">
      <c r="A32" s="1">
        <v>45985</v>
      </c>
      <c r="B32">
        <v>15</v>
      </c>
      <c r="C32" t="s">
        <v>18</v>
      </c>
      <c r="D32" t="s">
        <v>49</v>
      </c>
      <c r="E32" t="s">
        <v>21</v>
      </c>
      <c r="F32" s="6" t="s">
        <v>57</v>
      </c>
      <c r="G32" s="1">
        <v>45985</v>
      </c>
      <c r="H32">
        <v>48</v>
      </c>
      <c r="I32">
        <v>11</v>
      </c>
      <c r="J32">
        <v>24</v>
      </c>
      <c r="K32">
        <v>2025</v>
      </c>
    </row>
    <row r="33" spans="1:11" x14ac:dyDescent="0.25">
      <c r="A33" s="1">
        <v>45985</v>
      </c>
      <c r="B33">
        <v>16</v>
      </c>
      <c r="C33" t="s">
        <v>23</v>
      </c>
      <c r="D33" t="s">
        <v>51</v>
      </c>
      <c r="E33" t="s">
        <v>21</v>
      </c>
      <c r="F33" t="s">
        <v>53</v>
      </c>
      <c r="G33" s="1">
        <v>45985</v>
      </c>
      <c r="H33">
        <v>48</v>
      </c>
      <c r="I33">
        <v>11</v>
      </c>
      <c r="J33">
        <v>24</v>
      </c>
      <c r="K33">
        <v>2025</v>
      </c>
    </row>
    <row r="34" spans="1:11" x14ac:dyDescent="0.25">
      <c r="A34" s="1">
        <v>45985</v>
      </c>
      <c r="B34">
        <v>17</v>
      </c>
      <c r="C34" t="s">
        <v>26</v>
      </c>
      <c r="D34" t="s">
        <v>54</v>
      </c>
      <c r="E34" t="s">
        <v>21</v>
      </c>
      <c r="F34" t="s">
        <v>64</v>
      </c>
      <c r="G34" s="1">
        <v>45985</v>
      </c>
      <c r="H34">
        <v>48</v>
      </c>
      <c r="I34">
        <v>11</v>
      </c>
      <c r="J34">
        <v>24</v>
      </c>
      <c r="K34">
        <v>2025</v>
      </c>
    </row>
    <row r="35" spans="1:11" x14ac:dyDescent="0.25">
      <c r="A35" s="1">
        <v>45985</v>
      </c>
      <c r="B35">
        <v>18</v>
      </c>
      <c r="C35" t="s">
        <v>23</v>
      </c>
      <c r="D35" t="s">
        <v>55</v>
      </c>
      <c r="E35" t="s">
        <v>11</v>
      </c>
      <c r="F35" t="s">
        <v>66</v>
      </c>
      <c r="G35" s="1">
        <v>45985</v>
      </c>
      <c r="H35">
        <v>48</v>
      </c>
      <c r="I35">
        <v>11</v>
      </c>
      <c r="J35">
        <v>24</v>
      </c>
      <c r="K35">
        <v>2025</v>
      </c>
    </row>
    <row r="36" spans="1:11" ht="75" x14ac:dyDescent="0.25">
      <c r="A36" s="1">
        <v>45986</v>
      </c>
      <c r="B36">
        <v>19</v>
      </c>
      <c r="C36" t="s">
        <v>18</v>
      </c>
      <c r="D36" t="s">
        <v>56</v>
      </c>
      <c r="E36" t="s">
        <v>21</v>
      </c>
      <c r="F36" s="6" t="s">
        <v>58</v>
      </c>
      <c r="G36" s="1">
        <v>45985</v>
      </c>
      <c r="H36">
        <v>48</v>
      </c>
      <c r="I36">
        <v>11</v>
      </c>
      <c r="J36">
        <v>25</v>
      </c>
      <c r="K36">
        <v>2025</v>
      </c>
    </row>
    <row r="37" spans="1:11" x14ac:dyDescent="0.25">
      <c r="A37" s="1">
        <v>45986</v>
      </c>
      <c r="B37">
        <v>20</v>
      </c>
      <c r="C37" t="s">
        <v>26</v>
      </c>
      <c r="D37" t="s">
        <v>59</v>
      </c>
      <c r="E37" t="s">
        <v>21</v>
      </c>
      <c r="F37" t="s">
        <v>60</v>
      </c>
      <c r="G37" s="1">
        <v>45985</v>
      </c>
      <c r="H37">
        <v>48</v>
      </c>
      <c r="I37">
        <v>11</v>
      </c>
      <c r="J37">
        <v>25</v>
      </c>
      <c r="K37">
        <v>2025</v>
      </c>
    </row>
    <row r="38" spans="1:11" ht="90" x14ac:dyDescent="0.25">
      <c r="A38" s="1">
        <v>45986</v>
      </c>
      <c r="B38">
        <v>21</v>
      </c>
      <c r="D38" t="s">
        <v>65</v>
      </c>
      <c r="E38" t="s">
        <v>11</v>
      </c>
      <c r="F38" s="6" t="s">
        <v>67</v>
      </c>
      <c r="G38" s="1">
        <v>45985</v>
      </c>
      <c r="H38">
        <v>48</v>
      </c>
      <c r="I38">
        <v>11</v>
      </c>
      <c r="J38">
        <v>25</v>
      </c>
      <c r="K38">
        <v>2025</v>
      </c>
    </row>
    <row r="39" spans="1:11" x14ac:dyDescent="0.25">
      <c r="A39" s="1">
        <v>45987</v>
      </c>
      <c r="B39">
        <v>22</v>
      </c>
      <c r="C39" t="s">
        <v>38</v>
      </c>
      <c r="D39" t="s">
        <v>68</v>
      </c>
      <c r="E39" t="s">
        <v>11</v>
      </c>
      <c r="F39" t="s">
        <v>69</v>
      </c>
      <c r="G39" s="1">
        <v>45985</v>
      </c>
      <c r="H39">
        <v>48</v>
      </c>
      <c r="I39">
        <v>11</v>
      </c>
      <c r="J39">
        <v>26</v>
      </c>
      <c r="K39">
        <v>2025</v>
      </c>
    </row>
    <row r="40" spans="1:11" x14ac:dyDescent="0.25">
      <c r="A40" s="1">
        <v>45987</v>
      </c>
      <c r="B40">
        <v>23</v>
      </c>
      <c r="C40" t="s">
        <v>26</v>
      </c>
      <c r="D40" t="s">
        <v>70</v>
      </c>
      <c r="E40" t="s">
        <v>11</v>
      </c>
      <c r="F40" t="s">
        <v>71</v>
      </c>
      <c r="G40" s="1">
        <v>45985</v>
      </c>
      <c r="H40">
        <v>48</v>
      </c>
      <c r="I40">
        <v>11</v>
      </c>
      <c r="J40">
        <v>26</v>
      </c>
      <c r="K40">
        <v>2025</v>
      </c>
    </row>
    <row r="41" spans="1:11" x14ac:dyDescent="0.25">
      <c r="A41" s="1">
        <v>45987</v>
      </c>
      <c r="B41">
        <v>24</v>
      </c>
      <c r="C41" t="s">
        <v>18</v>
      </c>
      <c r="D41" t="s">
        <v>72</v>
      </c>
      <c r="E41" t="s">
        <v>11</v>
      </c>
      <c r="F41" t="s">
        <v>73</v>
      </c>
      <c r="G41" s="1">
        <v>45985</v>
      </c>
      <c r="H41">
        <v>48</v>
      </c>
      <c r="I41">
        <v>11</v>
      </c>
      <c r="J41">
        <v>26</v>
      </c>
      <c r="K41">
        <v>2025</v>
      </c>
    </row>
    <row r="42" spans="1:11" x14ac:dyDescent="0.25">
      <c r="A42" s="1">
        <v>45979</v>
      </c>
      <c r="B42">
        <v>1</v>
      </c>
      <c r="C42" t="s">
        <v>23</v>
      </c>
      <c r="D42" t="s">
        <v>12</v>
      </c>
      <c r="E42" t="s">
        <v>77</v>
      </c>
      <c r="F42" t="s">
        <v>24</v>
      </c>
      <c r="G42" s="1">
        <v>45978</v>
      </c>
      <c r="H42">
        <v>47</v>
      </c>
      <c r="I42">
        <v>11</v>
      </c>
      <c r="J42">
        <v>18</v>
      </c>
      <c r="K42">
        <v>2025</v>
      </c>
    </row>
    <row r="43" spans="1:11" x14ac:dyDescent="0.25">
      <c r="A43" s="1">
        <v>45979</v>
      </c>
      <c r="B43">
        <v>2</v>
      </c>
      <c r="C43" t="s">
        <v>14</v>
      </c>
      <c r="D43" t="s">
        <v>25</v>
      </c>
      <c r="E43" t="s">
        <v>10</v>
      </c>
      <c r="F43" t="s">
        <v>82</v>
      </c>
      <c r="G43" s="1">
        <v>45978</v>
      </c>
      <c r="H43">
        <v>47</v>
      </c>
      <c r="I43">
        <v>11</v>
      </c>
      <c r="J43">
        <v>18</v>
      </c>
      <c r="K43">
        <v>2025</v>
      </c>
    </row>
    <row r="44" spans="1:11" x14ac:dyDescent="0.25">
      <c r="A44" s="1">
        <v>45979</v>
      </c>
      <c r="B44">
        <v>4</v>
      </c>
      <c r="C44" t="s">
        <v>26</v>
      </c>
      <c r="D44" t="s">
        <v>28</v>
      </c>
      <c r="E44" t="s">
        <v>21</v>
      </c>
      <c r="F44" t="s">
        <v>29</v>
      </c>
      <c r="G44" s="1">
        <v>45978</v>
      </c>
      <c r="H44">
        <v>47</v>
      </c>
      <c r="I44">
        <v>11</v>
      </c>
      <c r="J44">
        <v>18</v>
      </c>
      <c r="K44">
        <v>2025</v>
      </c>
    </row>
    <row r="45" spans="1:11" x14ac:dyDescent="0.25">
      <c r="A45" s="1">
        <v>45979</v>
      </c>
      <c r="B45">
        <v>6</v>
      </c>
      <c r="C45" t="s">
        <v>14</v>
      </c>
      <c r="D45" t="s">
        <v>31</v>
      </c>
      <c r="E45" t="s">
        <v>11</v>
      </c>
      <c r="F45" t="s">
        <v>97</v>
      </c>
      <c r="G45" s="1">
        <v>45978</v>
      </c>
      <c r="H45">
        <v>47</v>
      </c>
      <c r="I45">
        <v>11</v>
      </c>
      <c r="J45">
        <v>18</v>
      </c>
      <c r="K45">
        <v>2025</v>
      </c>
    </row>
    <row r="46" spans="1:11" x14ac:dyDescent="0.25">
      <c r="A46" s="1">
        <v>45979</v>
      </c>
      <c r="B46">
        <v>7</v>
      </c>
      <c r="C46" t="s">
        <v>17</v>
      </c>
      <c r="D46" t="s">
        <v>33</v>
      </c>
      <c r="E46" t="s">
        <v>21</v>
      </c>
      <c r="F46" t="s">
        <v>94</v>
      </c>
      <c r="G46" s="1">
        <v>45978</v>
      </c>
      <c r="H46">
        <v>47</v>
      </c>
      <c r="I46">
        <v>11</v>
      </c>
      <c r="J46">
        <v>18</v>
      </c>
      <c r="K46">
        <v>2025</v>
      </c>
    </row>
    <row r="47" spans="1:11" x14ac:dyDescent="0.25">
      <c r="A47" s="1">
        <v>45979</v>
      </c>
      <c r="B47">
        <v>8</v>
      </c>
      <c r="C47" t="s">
        <v>38</v>
      </c>
      <c r="D47" t="s">
        <v>34</v>
      </c>
      <c r="E47" t="s">
        <v>21</v>
      </c>
      <c r="G47" s="1">
        <v>45978</v>
      </c>
      <c r="H47">
        <v>47</v>
      </c>
      <c r="I47">
        <v>11</v>
      </c>
      <c r="J47">
        <v>18</v>
      </c>
      <c r="K47">
        <v>2025</v>
      </c>
    </row>
    <row r="48" spans="1:11" x14ac:dyDescent="0.25">
      <c r="A48" s="1">
        <v>45979</v>
      </c>
      <c r="B48">
        <v>9</v>
      </c>
      <c r="C48" t="s">
        <v>26</v>
      </c>
      <c r="D48" t="s">
        <v>35</v>
      </c>
      <c r="E48" t="s">
        <v>11</v>
      </c>
      <c r="G48" s="1">
        <v>45978</v>
      </c>
      <c r="H48">
        <v>47</v>
      </c>
      <c r="I48">
        <v>11</v>
      </c>
      <c r="J48">
        <v>18</v>
      </c>
      <c r="K48">
        <v>2025</v>
      </c>
    </row>
    <row r="49" spans="1:11" x14ac:dyDescent="0.25">
      <c r="A49" s="1">
        <v>45979</v>
      </c>
      <c r="B49">
        <v>10</v>
      </c>
      <c r="C49" t="s">
        <v>20</v>
      </c>
      <c r="D49" t="s">
        <v>36</v>
      </c>
      <c r="E49" t="s">
        <v>77</v>
      </c>
      <c r="F49" t="s">
        <v>37</v>
      </c>
      <c r="G49" s="1">
        <v>45978</v>
      </c>
      <c r="H49">
        <v>47</v>
      </c>
      <c r="I49">
        <v>11</v>
      </c>
      <c r="J49">
        <v>18</v>
      </c>
      <c r="K49">
        <v>2025</v>
      </c>
    </row>
    <row r="50" spans="1:11" x14ac:dyDescent="0.25">
      <c r="A50" s="1">
        <v>45980</v>
      </c>
      <c r="B50">
        <v>12</v>
      </c>
      <c r="C50" t="s">
        <v>16</v>
      </c>
      <c r="D50" t="s">
        <v>43</v>
      </c>
      <c r="E50" t="s">
        <v>11</v>
      </c>
      <c r="F50" t="s">
        <v>44</v>
      </c>
      <c r="G50" s="1">
        <v>45978</v>
      </c>
      <c r="H50">
        <v>47</v>
      </c>
      <c r="I50">
        <v>11</v>
      </c>
      <c r="J50">
        <v>19</v>
      </c>
      <c r="K50">
        <v>2025</v>
      </c>
    </row>
    <row r="51" spans="1:11" x14ac:dyDescent="0.25">
      <c r="A51" s="1">
        <v>45987</v>
      </c>
      <c r="B51">
        <v>13</v>
      </c>
      <c r="C51" t="s">
        <v>26</v>
      </c>
      <c r="D51" t="s">
        <v>74</v>
      </c>
      <c r="E51" t="s">
        <v>11</v>
      </c>
      <c r="F51" t="s">
        <v>101</v>
      </c>
      <c r="G51" s="1">
        <v>45985</v>
      </c>
      <c r="H51">
        <v>48</v>
      </c>
      <c r="I51">
        <v>11</v>
      </c>
      <c r="J51">
        <v>26</v>
      </c>
      <c r="K51">
        <v>2025</v>
      </c>
    </row>
    <row r="52" spans="1:11" x14ac:dyDescent="0.25">
      <c r="A52" s="1">
        <v>45985</v>
      </c>
      <c r="B52">
        <v>14</v>
      </c>
      <c r="C52" t="s">
        <v>14</v>
      </c>
      <c r="D52" t="s">
        <v>50</v>
      </c>
      <c r="E52" t="s">
        <v>10</v>
      </c>
      <c r="F52" t="s">
        <v>47</v>
      </c>
      <c r="G52" s="1">
        <v>45985</v>
      </c>
      <c r="H52">
        <v>48</v>
      </c>
      <c r="I52">
        <v>11</v>
      </c>
      <c r="J52">
        <v>24</v>
      </c>
      <c r="K52">
        <v>2025</v>
      </c>
    </row>
    <row r="53" spans="1:11" x14ac:dyDescent="0.25">
      <c r="A53" s="1">
        <v>45985</v>
      </c>
      <c r="B53">
        <v>18</v>
      </c>
      <c r="C53" t="s">
        <v>23</v>
      </c>
      <c r="D53" t="s">
        <v>55</v>
      </c>
      <c r="E53" t="s">
        <v>21</v>
      </c>
      <c r="F53" t="s">
        <v>109</v>
      </c>
      <c r="G53" s="1">
        <v>45985</v>
      </c>
      <c r="H53">
        <v>48</v>
      </c>
      <c r="I53">
        <v>11</v>
      </c>
      <c r="J53">
        <v>24</v>
      </c>
      <c r="K53">
        <v>2025</v>
      </c>
    </row>
    <row r="54" spans="1:11" ht="255" x14ac:dyDescent="0.25">
      <c r="A54" s="1">
        <v>45986</v>
      </c>
      <c r="B54">
        <v>21</v>
      </c>
      <c r="C54" t="s">
        <v>18</v>
      </c>
      <c r="D54" t="s">
        <v>65</v>
      </c>
      <c r="E54" t="s">
        <v>21</v>
      </c>
      <c r="F54" s="6" t="s">
        <v>117</v>
      </c>
      <c r="G54" s="1">
        <v>45985</v>
      </c>
      <c r="H54">
        <v>48</v>
      </c>
      <c r="I54">
        <v>11</v>
      </c>
      <c r="J54">
        <v>25</v>
      </c>
      <c r="K54">
        <v>2025</v>
      </c>
    </row>
    <row r="55" spans="1:11" x14ac:dyDescent="0.25">
      <c r="A55" s="1">
        <v>45987</v>
      </c>
      <c r="B55">
        <v>22</v>
      </c>
      <c r="C55" t="s">
        <v>38</v>
      </c>
      <c r="D55" t="s">
        <v>68</v>
      </c>
      <c r="E55" t="s">
        <v>21</v>
      </c>
      <c r="F55" t="s">
        <v>69</v>
      </c>
      <c r="G55" s="1">
        <v>45985</v>
      </c>
      <c r="H55">
        <v>48</v>
      </c>
      <c r="I55">
        <v>11</v>
      </c>
      <c r="J55">
        <v>26</v>
      </c>
      <c r="K55">
        <v>2025</v>
      </c>
    </row>
    <row r="56" spans="1:11" x14ac:dyDescent="0.25">
      <c r="A56" s="1">
        <v>45987</v>
      </c>
      <c r="B56">
        <v>23</v>
      </c>
      <c r="C56" t="s">
        <v>26</v>
      </c>
      <c r="D56" t="s">
        <v>70</v>
      </c>
      <c r="E56" t="s">
        <v>21</v>
      </c>
      <c r="F56" t="s">
        <v>98</v>
      </c>
      <c r="G56" s="1">
        <v>45985</v>
      </c>
      <c r="H56">
        <v>48</v>
      </c>
      <c r="I56">
        <v>11</v>
      </c>
      <c r="J56">
        <v>26</v>
      </c>
      <c r="K56">
        <v>2025</v>
      </c>
    </row>
    <row r="57" spans="1:11" x14ac:dyDescent="0.25">
      <c r="A57" s="1">
        <v>45987</v>
      </c>
      <c r="B57">
        <v>24</v>
      </c>
      <c r="C57" t="s">
        <v>18</v>
      </c>
      <c r="D57" t="s">
        <v>72</v>
      </c>
      <c r="E57" t="s">
        <v>21</v>
      </c>
      <c r="F57" t="s">
        <v>73</v>
      </c>
      <c r="G57" s="1">
        <v>45985</v>
      </c>
      <c r="H57">
        <v>48</v>
      </c>
      <c r="I57">
        <v>11</v>
      </c>
      <c r="J57">
        <v>26</v>
      </c>
      <c r="K57">
        <v>2025</v>
      </c>
    </row>
    <row r="58" spans="1:11" x14ac:dyDescent="0.25">
      <c r="A58" s="1">
        <v>45992</v>
      </c>
      <c r="B58">
        <v>25</v>
      </c>
      <c r="C58" t="s">
        <v>15</v>
      </c>
      <c r="D58" t="s">
        <v>75</v>
      </c>
      <c r="E58" t="s">
        <v>77</v>
      </c>
      <c r="F58" t="s">
        <v>76</v>
      </c>
      <c r="G58" s="1">
        <v>45992</v>
      </c>
      <c r="H58">
        <v>49</v>
      </c>
      <c r="I58">
        <v>12</v>
      </c>
      <c r="J58">
        <v>1</v>
      </c>
      <c r="K58">
        <v>2025</v>
      </c>
    </row>
    <row r="59" spans="1:11" x14ac:dyDescent="0.25">
      <c r="A59" s="1">
        <v>45992</v>
      </c>
      <c r="B59">
        <v>26</v>
      </c>
      <c r="C59" t="s">
        <v>26</v>
      </c>
      <c r="D59" t="s">
        <v>78</v>
      </c>
      <c r="E59" t="s">
        <v>10</v>
      </c>
      <c r="F59" t="s">
        <v>79</v>
      </c>
      <c r="G59" s="1">
        <v>45992</v>
      </c>
      <c r="H59">
        <v>49</v>
      </c>
      <c r="I59">
        <v>12</v>
      </c>
      <c r="J59">
        <v>1</v>
      </c>
      <c r="K59">
        <v>2025</v>
      </c>
    </row>
    <row r="60" spans="1:11" x14ac:dyDescent="0.25">
      <c r="A60" s="1">
        <v>45993</v>
      </c>
      <c r="B60">
        <v>27</v>
      </c>
      <c r="C60" t="s">
        <v>38</v>
      </c>
      <c r="D60" t="s">
        <v>80</v>
      </c>
      <c r="E60" t="s">
        <v>11</v>
      </c>
      <c r="F60" t="s">
        <v>81</v>
      </c>
      <c r="G60" s="1">
        <v>45992</v>
      </c>
      <c r="H60">
        <v>49</v>
      </c>
      <c r="I60">
        <v>12</v>
      </c>
      <c r="J60">
        <v>2</v>
      </c>
      <c r="K60">
        <v>2025</v>
      </c>
    </row>
    <row r="61" spans="1:11" x14ac:dyDescent="0.25">
      <c r="A61" s="1">
        <v>45993</v>
      </c>
      <c r="B61">
        <v>28</v>
      </c>
      <c r="C61" t="s">
        <v>18</v>
      </c>
      <c r="D61" t="s">
        <v>83</v>
      </c>
      <c r="E61" t="s">
        <v>21</v>
      </c>
      <c r="F61" t="s">
        <v>102</v>
      </c>
      <c r="G61" s="1">
        <v>45992</v>
      </c>
      <c r="H61">
        <v>49</v>
      </c>
      <c r="I61">
        <v>12</v>
      </c>
      <c r="J61">
        <v>2</v>
      </c>
      <c r="K61">
        <v>2025</v>
      </c>
    </row>
    <row r="62" spans="1:11" x14ac:dyDescent="0.25">
      <c r="A62" s="1">
        <v>45993</v>
      </c>
      <c r="B62">
        <v>29</v>
      </c>
      <c r="C62" t="s">
        <v>26</v>
      </c>
      <c r="D62" t="s">
        <v>84</v>
      </c>
      <c r="E62" t="s">
        <v>10</v>
      </c>
      <c r="F62" t="s">
        <v>85</v>
      </c>
      <c r="G62" s="1">
        <v>45992</v>
      </c>
      <c r="H62">
        <v>49</v>
      </c>
      <c r="I62">
        <v>12</v>
      </c>
      <c r="J62">
        <v>2</v>
      </c>
      <c r="K62">
        <v>2025</v>
      </c>
    </row>
    <row r="63" spans="1:11" x14ac:dyDescent="0.25">
      <c r="A63" s="1">
        <v>45993</v>
      </c>
      <c r="B63">
        <v>30</v>
      </c>
      <c r="C63" t="s">
        <v>15</v>
      </c>
      <c r="D63" t="s">
        <v>86</v>
      </c>
      <c r="E63" t="s">
        <v>11</v>
      </c>
      <c r="F63" t="s">
        <v>103</v>
      </c>
      <c r="G63" s="1">
        <v>45992</v>
      </c>
      <c r="H63">
        <v>49</v>
      </c>
      <c r="I63">
        <v>12</v>
      </c>
      <c r="J63">
        <v>2</v>
      </c>
      <c r="K63">
        <v>2025</v>
      </c>
    </row>
    <row r="64" spans="1:11" x14ac:dyDescent="0.25">
      <c r="A64" s="1">
        <v>45993</v>
      </c>
      <c r="B64">
        <v>31</v>
      </c>
      <c r="C64" t="s">
        <v>38</v>
      </c>
      <c r="D64" t="s">
        <v>87</v>
      </c>
      <c r="E64" t="s">
        <v>11</v>
      </c>
      <c r="F64" t="s">
        <v>88</v>
      </c>
      <c r="G64" s="1">
        <v>45992</v>
      </c>
      <c r="H64">
        <v>49</v>
      </c>
      <c r="I64">
        <v>12</v>
      </c>
      <c r="J64">
        <v>2</v>
      </c>
      <c r="K64">
        <v>2025</v>
      </c>
    </row>
    <row r="65" spans="1:11" x14ac:dyDescent="0.25">
      <c r="A65" s="1">
        <v>45993</v>
      </c>
      <c r="B65">
        <v>32</v>
      </c>
      <c r="C65" t="s">
        <v>26</v>
      </c>
      <c r="D65" t="s">
        <v>89</v>
      </c>
      <c r="E65" t="s">
        <v>21</v>
      </c>
      <c r="F65" t="s">
        <v>90</v>
      </c>
      <c r="G65" s="1">
        <v>45992</v>
      </c>
      <c r="H65">
        <v>49</v>
      </c>
      <c r="I65">
        <v>12</v>
      </c>
      <c r="J65">
        <v>2</v>
      </c>
      <c r="K65">
        <v>2025</v>
      </c>
    </row>
    <row r="66" spans="1:11" x14ac:dyDescent="0.25">
      <c r="A66" s="1">
        <v>45993</v>
      </c>
      <c r="B66">
        <v>33</v>
      </c>
      <c r="C66" t="s">
        <v>26</v>
      </c>
      <c r="D66" t="s">
        <v>91</v>
      </c>
      <c r="E66" t="s">
        <v>21</v>
      </c>
      <c r="F66" t="s">
        <v>92</v>
      </c>
      <c r="G66" s="1">
        <v>45992</v>
      </c>
      <c r="H66">
        <v>49</v>
      </c>
      <c r="I66">
        <v>12</v>
      </c>
      <c r="J66">
        <v>2</v>
      </c>
      <c r="K66">
        <v>2025</v>
      </c>
    </row>
    <row r="67" spans="1:11" x14ac:dyDescent="0.25">
      <c r="A67" s="1">
        <v>45993</v>
      </c>
      <c r="B67">
        <v>34</v>
      </c>
      <c r="C67" t="s">
        <v>18</v>
      </c>
      <c r="D67" t="s">
        <v>93</v>
      </c>
      <c r="E67" t="s">
        <v>77</v>
      </c>
      <c r="F67" t="s">
        <v>95</v>
      </c>
      <c r="G67" s="1">
        <v>45992</v>
      </c>
      <c r="H67">
        <v>49</v>
      </c>
      <c r="I67">
        <v>12</v>
      </c>
      <c r="J67">
        <v>2</v>
      </c>
      <c r="K67">
        <v>2025</v>
      </c>
    </row>
    <row r="68" spans="1:11" x14ac:dyDescent="0.25">
      <c r="A68" s="1">
        <v>45994</v>
      </c>
      <c r="B68">
        <v>35</v>
      </c>
      <c r="C68" t="s">
        <v>26</v>
      </c>
      <c r="D68" t="s">
        <v>96</v>
      </c>
      <c r="E68" t="s">
        <v>10</v>
      </c>
      <c r="F68" t="s">
        <v>104</v>
      </c>
      <c r="G68" s="1">
        <v>45992</v>
      </c>
      <c r="H68">
        <v>49</v>
      </c>
      <c r="I68">
        <v>12</v>
      </c>
      <c r="J68">
        <v>3</v>
      </c>
      <c r="K68">
        <v>2025</v>
      </c>
    </row>
    <row r="69" spans="1:11" x14ac:dyDescent="0.25">
      <c r="A69" s="1">
        <v>45995</v>
      </c>
      <c r="B69">
        <v>36</v>
      </c>
      <c r="C69" t="s">
        <v>23</v>
      </c>
      <c r="D69" t="s">
        <v>99</v>
      </c>
      <c r="E69" t="s">
        <v>21</v>
      </c>
      <c r="F69" t="s">
        <v>100</v>
      </c>
      <c r="G69" s="1">
        <v>45992</v>
      </c>
      <c r="H69">
        <v>49</v>
      </c>
      <c r="I69">
        <v>12</v>
      </c>
      <c r="J69">
        <v>4</v>
      </c>
      <c r="K69">
        <v>2025</v>
      </c>
    </row>
    <row r="70" spans="1:11" x14ac:dyDescent="0.25">
      <c r="A70" s="1">
        <v>45995</v>
      </c>
      <c r="B70">
        <v>37</v>
      </c>
      <c r="C70" t="s">
        <v>26</v>
      </c>
      <c r="D70" t="s">
        <v>105</v>
      </c>
      <c r="E70" t="s">
        <v>21</v>
      </c>
      <c r="G70" s="1">
        <v>45992</v>
      </c>
      <c r="H70">
        <v>49</v>
      </c>
      <c r="I70">
        <v>12</v>
      </c>
      <c r="J70">
        <v>4</v>
      </c>
      <c r="K70">
        <v>2025</v>
      </c>
    </row>
    <row r="71" spans="1:11" x14ac:dyDescent="0.25">
      <c r="A71" s="1">
        <v>45995</v>
      </c>
      <c r="B71">
        <v>38</v>
      </c>
      <c r="C71" t="s">
        <v>38</v>
      </c>
      <c r="D71" t="s">
        <v>106</v>
      </c>
      <c r="E71" t="s">
        <v>10</v>
      </c>
      <c r="F71" t="s">
        <v>107</v>
      </c>
      <c r="G71" s="1">
        <v>45992</v>
      </c>
      <c r="H71">
        <v>49</v>
      </c>
      <c r="I71">
        <v>12</v>
      </c>
      <c r="J71">
        <v>4</v>
      </c>
      <c r="K71">
        <v>2025</v>
      </c>
    </row>
    <row r="72" spans="1:11" x14ac:dyDescent="0.25">
      <c r="A72" s="1">
        <v>45995</v>
      </c>
      <c r="B72">
        <v>39</v>
      </c>
      <c r="C72" t="s">
        <v>26</v>
      </c>
      <c r="D72" t="s">
        <v>108</v>
      </c>
      <c r="E72" t="s">
        <v>21</v>
      </c>
      <c r="F72" t="s">
        <v>110</v>
      </c>
      <c r="G72" s="1">
        <v>45992</v>
      </c>
      <c r="H72">
        <v>49</v>
      </c>
      <c r="I72">
        <v>12</v>
      </c>
      <c r="J72">
        <v>4</v>
      </c>
      <c r="K72">
        <v>2025</v>
      </c>
    </row>
    <row r="73" spans="1:11" x14ac:dyDescent="0.25">
      <c r="A73" s="1">
        <v>45995</v>
      </c>
      <c r="B73">
        <v>40</v>
      </c>
      <c r="C73" t="s">
        <v>26</v>
      </c>
      <c r="D73" t="s">
        <v>111</v>
      </c>
      <c r="E73" t="s">
        <v>10</v>
      </c>
      <c r="F73" t="s">
        <v>118</v>
      </c>
      <c r="G73" s="1">
        <v>45992</v>
      </c>
      <c r="H73">
        <v>49</v>
      </c>
      <c r="I73">
        <v>12</v>
      </c>
      <c r="J73">
        <v>4</v>
      </c>
      <c r="K73">
        <v>2025</v>
      </c>
    </row>
    <row r="74" spans="1:11" x14ac:dyDescent="0.25">
      <c r="A74" s="1">
        <v>45995</v>
      </c>
      <c r="B74">
        <v>41</v>
      </c>
      <c r="C74" t="s">
        <v>26</v>
      </c>
      <c r="D74" t="s">
        <v>112</v>
      </c>
      <c r="E74" t="s">
        <v>10</v>
      </c>
      <c r="F74" t="s">
        <v>113</v>
      </c>
      <c r="G74" s="1">
        <v>45992</v>
      </c>
      <c r="H74">
        <v>49</v>
      </c>
      <c r="I74">
        <v>12</v>
      </c>
      <c r="J74">
        <v>4</v>
      </c>
      <c r="K74">
        <v>2025</v>
      </c>
    </row>
    <row r="75" spans="1:11" x14ac:dyDescent="0.25">
      <c r="A75" s="1">
        <v>45995</v>
      </c>
      <c r="B75">
        <v>42</v>
      </c>
      <c r="C75" t="s">
        <v>26</v>
      </c>
      <c r="D75" t="s">
        <v>114</v>
      </c>
      <c r="E75" t="s">
        <v>10</v>
      </c>
      <c r="F75" t="s">
        <v>116</v>
      </c>
      <c r="G75" s="1">
        <v>45992</v>
      </c>
      <c r="H75">
        <v>49</v>
      </c>
      <c r="I75">
        <v>12</v>
      </c>
      <c r="J75">
        <v>4</v>
      </c>
      <c r="K75">
        <v>2025</v>
      </c>
    </row>
    <row r="76" spans="1:11" x14ac:dyDescent="0.25">
      <c r="A76" s="1">
        <v>45995</v>
      </c>
      <c r="B76">
        <v>43</v>
      </c>
      <c r="C76" t="s">
        <v>26</v>
      </c>
      <c r="D76" t="s">
        <v>115</v>
      </c>
      <c r="E76" t="s">
        <v>10</v>
      </c>
      <c r="F76" t="s">
        <v>116</v>
      </c>
      <c r="G76" s="1">
        <v>45992</v>
      </c>
      <c r="H76">
        <v>49</v>
      </c>
      <c r="I76">
        <v>12</v>
      </c>
      <c r="J76">
        <v>4</v>
      </c>
      <c r="K76">
        <v>2025</v>
      </c>
    </row>
    <row r="77" spans="1:11" x14ac:dyDescent="0.25">
      <c r="A77" s="1">
        <v>45979</v>
      </c>
      <c r="B77">
        <v>1</v>
      </c>
      <c r="C77" t="s">
        <v>23</v>
      </c>
      <c r="D77" t="s">
        <v>12</v>
      </c>
      <c r="E77" t="s">
        <v>21</v>
      </c>
      <c r="F77" t="s">
        <v>120</v>
      </c>
      <c r="G77" s="1">
        <v>46006</v>
      </c>
      <c r="H77">
        <v>51</v>
      </c>
      <c r="I77">
        <v>11</v>
      </c>
      <c r="J77">
        <v>18</v>
      </c>
      <c r="K77">
        <v>2025</v>
      </c>
    </row>
    <row r="78" spans="1:11" x14ac:dyDescent="0.25">
      <c r="A78" s="1">
        <v>45979</v>
      </c>
      <c r="B78">
        <v>2</v>
      </c>
      <c r="C78" t="s">
        <v>14</v>
      </c>
      <c r="D78" t="s">
        <v>25</v>
      </c>
      <c r="E78" t="s">
        <v>21</v>
      </c>
      <c r="F78" t="s">
        <v>82</v>
      </c>
      <c r="G78" s="1">
        <v>46006</v>
      </c>
      <c r="H78">
        <v>51</v>
      </c>
      <c r="I78">
        <v>11</v>
      </c>
      <c r="J78">
        <v>18</v>
      </c>
      <c r="K78">
        <v>2025</v>
      </c>
    </row>
    <row r="79" spans="1:11" x14ac:dyDescent="0.25">
      <c r="A79" s="1">
        <v>45979</v>
      </c>
      <c r="B79">
        <v>6</v>
      </c>
      <c r="C79" t="s">
        <v>14</v>
      </c>
      <c r="D79" t="s">
        <v>31</v>
      </c>
      <c r="E79" t="s">
        <v>11</v>
      </c>
      <c r="F79" t="s">
        <v>97</v>
      </c>
      <c r="G79" s="1">
        <v>46006</v>
      </c>
      <c r="H79">
        <v>51</v>
      </c>
      <c r="I79">
        <v>11</v>
      </c>
      <c r="J79">
        <v>18</v>
      </c>
      <c r="K79">
        <v>2025</v>
      </c>
    </row>
    <row r="80" spans="1:11" x14ac:dyDescent="0.25">
      <c r="A80" s="1">
        <v>45979</v>
      </c>
      <c r="B80">
        <v>9</v>
      </c>
      <c r="C80" t="s">
        <v>26</v>
      </c>
      <c r="D80" t="s">
        <v>35</v>
      </c>
      <c r="E80" t="s">
        <v>21</v>
      </c>
      <c r="F80" t="s">
        <v>124</v>
      </c>
      <c r="G80" s="1">
        <v>46006</v>
      </c>
      <c r="H80">
        <v>51</v>
      </c>
      <c r="I80">
        <v>11</v>
      </c>
      <c r="J80">
        <v>18</v>
      </c>
      <c r="K80">
        <v>2025</v>
      </c>
    </row>
    <row r="81" spans="1:11" x14ac:dyDescent="0.25">
      <c r="A81" s="1">
        <v>45979</v>
      </c>
      <c r="B81">
        <v>10</v>
      </c>
      <c r="C81" t="s">
        <v>20</v>
      </c>
      <c r="D81" t="s">
        <v>36</v>
      </c>
      <c r="E81" t="s">
        <v>77</v>
      </c>
      <c r="F81" t="s">
        <v>37</v>
      </c>
      <c r="G81" s="1">
        <v>46006</v>
      </c>
      <c r="H81">
        <v>51</v>
      </c>
      <c r="I81">
        <v>11</v>
      </c>
      <c r="J81">
        <v>18</v>
      </c>
      <c r="K81">
        <v>2025</v>
      </c>
    </row>
    <row r="82" spans="1:11" x14ac:dyDescent="0.25">
      <c r="A82" s="1">
        <v>45980</v>
      </c>
      <c r="B82">
        <v>12</v>
      </c>
      <c r="C82" t="s">
        <v>16</v>
      </c>
      <c r="D82" t="s">
        <v>43</v>
      </c>
      <c r="E82" t="s">
        <v>77</v>
      </c>
      <c r="F82" t="s">
        <v>44</v>
      </c>
      <c r="G82" s="1">
        <v>46006</v>
      </c>
      <c r="H82">
        <v>51</v>
      </c>
      <c r="I82">
        <v>11</v>
      </c>
      <c r="J82">
        <v>19</v>
      </c>
      <c r="K82">
        <v>2025</v>
      </c>
    </row>
    <row r="83" spans="1:11" x14ac:dyDescent="0.25">
      <c r="A83" s="1">
        <v>45987</v>
      </c>
      <c r="B83">
        <v>13</v>
      </c>
      <c r="C83" t="s">
        <v>26</v>
      </c>
      <c r="D83" t="s">
        <v>74</v>
      </c>
      <c r="E83" t="s">
        <v>11</v>
      </c>
      <c r="F83" t="s">
        <v>101</v>
      </c>
      <c r="G83" s="1">
        <v>46006</v>
      </c>
      <c r="H83">
        <v>51</v>
      </c>
      <c r="I83">
        <v>11</v>
      </c>
      <c r="J83">
        <v>26</v>
      </c>
      <c r="K83">
        <v>2025</v>
      </c>
    </row>
    <row r="84" spans="1:11" x14ac:dyDescent="0.25">
      <c r="A84" s="1">
        <v>45985</v>
      </c>
      <c r="B84">
        <v>14</v>
      </c>
      <c r="C84" t="s">
        <v>14</v>
      </c>
      <c r="D84" t="s">
        <v>50</v>
      </c>
      <c r="E84" t="s">
        <v>21</v>
      </c>
      <c r="F84" t="s">
        <v>47</v>
      </c>
      <c r="G84" s="1">
        <v>46006</v>
      </c>
      <c r="H84">
        <v>51</v>
      </c>
      <c r="I84">
        <v>11</v>
      </c>
      <c r="J84">
        <v>24</v>
      </c>
      <c r="K84">
        <v>2025</v>
      </c>
    </row>
    <row r="85" spans="1:11" x14ac:dyDescent="0.25">
      <c r="A85" s="1">
        <v>45992</v>
      </c>
      <c r="B85">
        <v>25</v>
      </c>
      <c r="C85" t="s">
        <v>15</v>
      </c>
      <c r="D85" t="s">
        <v>75</v>
      </c>
      <c r="E85" t="s">
        <v>77</v>
      </c>
      <c r="F85" t="s">
        <v>76</v>
      </c>
      <c r="G85" s="1">
        <v>46006</v>
      </c>
      <c r="H85">
        <v>51</v>
      </c>
      <c r="I85">
        <v>12</v>
      </c>
      <c r="J85">
        <v>1</v>
      </c>
      <c r="K85">
        <v>2025</v>
      </c>
    </row>
    <row r="86" spans="1:11" x14ac:dyDescent="0.25">
      <c r="A86" s="1">
        <v>45992</v>
      </c>
      <c r="B86">
        <v>26</v>
      </c>
      <c r="C86" t="s">
        <v>26</v>
      </c>
      <c r="D86" t="s">
        <v>78</v>
      </c>
      <c r="E86" t="s">
        <v>21</v>
      </c>
      <c r="F86" t="s">
        <v>79</v>
      </c>
      <c r="G86" s="1">
        <v>46006</v>
      </c>
      <c r="H86">
        <v>51</v>
      </c>
      <c r="I86">
        <v>12</v>
      </c>
      <c r="J86">
        <v>1</v>
      </c>
      <c r="K86">
        <v>2025</v>
      </c>
    </row>
    <row r="87" spans="1:11" x14ac:dyDescent="0.25">
      <c r="A87" s="1">
        <v>45993</v>
      </c>
      <c r="B87">
        <v>27</v>
      </c>
      <c r="C87" t="s">
        <v>38</v>
      </c>
      <c r="D87" t="s">
        <v>80</v>
      </c>
      <c r="E87" t="s">
        <v>10</v>
      </c>
      <c r="F87" t="s">
        <v>121</v>
      </c>
      <c r="G87" s="1">
        <v>46006</v>
      </c>
      <c r="H87">
        <v>51</v>
      </c>
      <c r="I87">
        <v>12</v>
      </c>
      <c r="J87">
        <v>2</v>
      </c>
      <c r="K87">
        <v>2025</v>
      </c>
    </row>
    <row r="88" spans="1:11" x14ac:dyDescent="0.25">
      <c r="A88" s="1">
        <v>45993</v>
      </c>
      <c r="B88">
        <v>29</v>
      </c>
      <c r="C88" t="s">
        <v>26</v>
      </c>
      <c r="D88" t="s">
        <v>84</v>
      </c>
      <c r="E88" t="s">
        <v>21</v>
      </c>
      <c r="F88" t="s">
        <v>85</v>
      </c>
      <c r="G88" s="1">
        <v>46006</v>
      </c>
      <c r="H88">
        <v>51</v>
      </c>
      <c r="I88">
        <v>12</v>
      </c>
      <c r="J88">
        <v>2</v>
      </c>
      <c r="K88">
        <v>2025</v>
      </c>
    </row>
    <row r="89" spans="1:11" x14ac:dyDescent="0.25">
      <c r="A89" s="1">
        <v>45993</v>
      </c>
      <c r="B89">
        <v>30</v>
      </c>
      <c r="C89" t="s">
        <v>15</v>
      </c>
      <c r="D89" t="s">
        <v>86</v>
      </c>
      <c r="E89" t="s">
        <v>11</v>
      </c>
      <c r="F89" t="s">
        <v>103</v>
      </c>
      <c r="G89" s="1">
        <v>46006</v>
      </c>
      <c r="H89">
        <v>51</v>
      </c>
      <c r="I89">
        <v>12</v>
      </c>
      <c r="J89">
        <v>2</v>
      </c>
      <c r="K89">
        <v>2025</v>
      </c>
    </row>
    <row r="90" spans="1:11" x14ac:dyDescent="0.25">
      <c r="A90" s="1">
        <v>45993</v>
      </c>
      <c r="B90">
        <v>31</v>
      </c>
      <c r="C90" t="s">
        <v>38</v>
      </c>
      <c r="D90" t="s">
        <v>87</v>
      </c>
      <c r="E90" t="s">
        <v>21</v>
      </c>
      <c r="F90" t="s">
        <v>122</v>
      </c>
      <c r="G90" s="1">
        <v>46006</v>
      </c>
      <c r="H90">
        <v>51</v>
      </c>
      <c r="I90">
        <v>12</v>
      </c>
      <c r="J90">
        <v>2</v>
      </c>
      <c r="K90">
        <v>2025</v>
      </c>
    </row>
    <row r="91" spans="1:11" x14ac:dyDescent="0.25">
      <c r="A91" s="1">
        <v>45993</v>
      </c>
      <c r="B91">
        <v>34</v>
      </c>
      <c r="C91" t="s">
        <v>18</v>
      </c>
      <c r="D91" t="s">
        <v>93</v>
      </c>
      <c r="E91" t="s">
        <v>21</v>
      </c>
      <c r="F91" t="s">
        <v>125</v>
      </c>
      <c r="G91" s="1">
        <v>46006</v>
      </c>
      <c r="H91">
        <v>51</v>
      </c>
      <c r="I91">
        <v>12</v>
      </c>
      <c r="J91">
        <v>2</v>
      </c>
      <c r="K91">
        <v>2025</v>
      </c>
    </row>
    <row r="92" spans="1:11" x14ac:dyDescent="0.25">
      <c r="A92" s="1">
        <v>45994</v>
      </c>
      <c r="B92">
        <v>35</v>
      </c>
      <c r="C92" t="s">
        <v>26</v>
      </c>
      <c r="D92" t="s">
        <v>96</v>
      </c>
      <c r="E92" t="s">
        <v>21</v>
      </c>
      <c r="F92" t="s">
        <v>104</v>
      </c>
      <c r="G92" s="1">
        <v>46006</v>
      </c>
      <c r="H92">
        <v>51</v>
      </c>
      <c r="I92">
        <v>12</v>
      </c>
      <c r="J92">
        <v>3</v>
      </c>
      <c r="K92">
        <v>2025</v>
      </c>
    </row>
    <row r="93" spans="1:11" x14ac:dyDescent="0.25">
      <c r="A93" s="1">
        <v>45995</v>
      </c>
      <c r="B93">
        <v>38</v>
      </c>
      <c r="C93" t="s">
        <v>38</v>
      </c>
      <c r="D93" t="s">
        <v>106</v>
      </c>
      <c r="E93" t="s">
        <v>77</v>
      </c>
      <c r="F93" t="s">
        <v>107</v>
      </c>
      <c r="G93" s="1">
        <v>46006</v>
      </c>
      <c r="H93">
        <v>51</v>
      </c>
      <c r="I93">
        <v>12</v>
      </c>
      <c r="J93">
        <v>4</v>
      </c>
      <c r="K93">
        <v>2025</v>
      </c>
    </row>
    <row r="94" spans="1:11" x14ac:dyDescent="0.25">
      <c r="A94" s="1">
        <v>45995</v>
      </c>
      <c r="B94">
        <v>40</v>
      </c>
      <c r="C94" t="s">
        <v>26</v>
      </c>
      <c r="D94" t="s">
        <v>111</v>
      </c>
      <c r="E94" t="s">
        <v>21</v>
      </c>
      <c r="F94" t="s">
        <v>140</v>
      </c>
      <c r="G94" s="1">
        <v>46006</v>
      </c>
      <c r="H94">
        <v>51</v>
      </c>
      <c r="I94">
        <v>12</v>
      </c>
      <c r="J94">
        <v>4</v>
      </c>
      <c r="K94">
        <v>2025</v>
      </c>
    </row>
    <row r="95" spans="1:11" x14ac:dyDescent="0.25">
      <c r="A95" s="1">
        <v>45995</v>
      </c>
      <c r="B95">
        <v>41</v>
      </c>
      <c r="C95" t="s">
        <v>26</v>
      </c>
      <c r="D95" t="s">
        <v>112</v>
      </c>
      <c r="E95" t="s">
        <v>77</v>
      </c>
      <c r="F95" t="s">
        <v>144</v>
      </c>
      <c r="G95" s="1">
        <v>46006</v>
      </c>
      <c r="H95">
        <v>51</v>
      </c>
      <c r="I95">
        <v>12</v>
      </c>
      <c r="J95">
        <v>4</v>
      </c>
      <c r="K95">
        <v>2025</v>
      </c>
    </row>
    <row r="96" spans="1:11" x14ac:dyDescent="0.25">
      <c r="A96" s="1">
        <v>45995</v>
      </c>
      <c r="B96">
        <v>42</v>
      </c>
      <c r="C96" t="s">
        <v>152</v>
      </c>
      <c r="D96" t="s">
        <v>114</v>
      </c>
      <c r="E96" t="s">
        <v>10</v>
      </c>
      <c r="F96" t="s">
        <v>133</v>
      </c>
      <c r="G96" s="1">
        <v>46006</v>
      </c>
      <c r="H96">
        <v>51</v>
      </c>
      <c r="I96">
        <v>12</v>
      </c>
      <c r="J96">
        <v>4</v>
      </c>
      <c r="K96">
        <v>2025</v>
      </c>
    </row>
    <row r="97" spans="1:11" x14ac:dyDescent="0.25">
      <c r="A97" s="1">
        <v>45995</v>
      </c>
      <c r="B97">
        <v>43</v>
      </c>
      <c r="C97" t="s">
        <v>152</v>
      </c>
      <c r="D97" t="s">
        <v>115</v>
      </c>
      <c r="E97" t="s">
        <v>10</v>
      </c>
      <c r="F97" t="s">
        <v>134</v>
      </c>
      <c r="G97" s="1">
        <v>46006</v>
      </c>
      <c r="H97">
        <v>51</v>
      </c>
      <c r="I97">
        <v>12</v>
      </c>
      <c r="J97">
        <v>4</v>
      </c>
      <c r="K97">
        <v>2025</v>
      </c>
    </row>
    <row r="98" spans="1:11" ht="135" x14ac:dyDescent="0.25">
      <c r="A98" s="1">
        <v>45995</v>
      </c>
      <c r="B98">
        <v>44</v>
      </c>
      <c r="C98" t="s">
        <v>26</v>
      </c>
      <c r="D98" t="s">
        <v>119</v>
      </c>
      <c r="E98" t="s">
        <v>21</v>
      </c>
      <c r="F98" s="6" t="s">
        <v>153</v>
      </c>
      <c r="G98" s="1">
        <v>46006</v>
      </c>
      <c r="H98">
        <v>51</v>
      </c>
      <c r="I98">
        <v>12</v>
      </c>
      <c r="J98">
        <v>4</v>
      </c>
      <c r="K98">
        <v>2025</v>
      </c>
    </row>
    <row r="99" spans="1:11" x14ac:dyDescent="0.25">
      <c r="A99" s="1">
        <v>45999</v>
      </c>
      <c r="B99">
        <v>45</v>
      </c>
      <c r="C99" t="s">
        <v>26</v>
      </c>
      <c r="D99" t="s">
        <v>128</v>
      </c>
      <c r="E99" t="s">
        <v>10</v>
      </c>
      <c r="F99" t="s">
        <v>123</v>
      </c>
      <c r="G99" s="1">
        <v>46006</v>
      </c>
      <c r="H99">
        <v>51</v>
      </c>
      <c r="I99">
        <v>12</v>
      </c>
      <c r="J99">
        <v>8</v>
      </c>
      <c r="K99">
        <v>2025</v>
      </c>
    </row>
    <row r="100" spans="1:11" x14ac:dyDescent="0.25">
      <c r="A100" s="1">
        <v>45999</v>
      </c>
      <c r="B100">
        <v>46</v>
      </c>
      <c r="C100" t="s">
        <v>18</v>
      </c>
      <c r="D100" t="s">
        <v>126</v>
      </c>
      <c r="E100" t="s">
        <v>21</v>
      </c>
      <c r="G100" s="1">
        <v>46006</v>
      </c>
      <c r="H100">
        <v>51</v>
      </c>
      <c r="I100">
        <v>12</v>
      </c>
      <c r="J100">
        <v>8</v>
      </c>
      <c r="K100">
        <v>2025</v>
      </c>
    </row>
    <row r="101" spans="1:11" x14ac:dyDescent="0.25">
      <c r="A101" s="1">
        <v>45999</v>
      </c>
      <c r="B101">
        <v>47</v>
      </c>
      <c r="C101" t="s">
        <v>26</v>
      </c>
      <c r="D101" t="s">
        <v>192</v>
      </c>
      <c r="E101" t="s">
        <v>21</v>
      </c>
      <c r="F101" t="s">
        <v>127</v>
      </c>
      <c r="G101" s="1">
        <v>46006</v>
      </c>
      <c r="H101">
        <v>51</v>
      </c>
      <c r="I101">
        <v>12</v>
      </c>
      <c r="J101">
        <v>8</v>
      </c>
      <c r="K101">
        <v>2025</v>
      </c>
    </row>
    <row r="102" spans="1:11" x14ac:dyDescent="0.25">
      <c r="A102" s="1">
        <v>45999</v>
      </c>
      <c r="B102">
        <v>48</v>
      </c>
      <c r="C102" t="s">
        <v>23</v>
      </c>
      <c r="D102" t="s">
        <v>129</v>
      </c>
      <c r="E102" t="s">
        <v>21</v>
      </c>
      <c r="F102" t="s">
        <v>130</v>
      </c>
      <c r="G102" s="1">
        <v>46006</v>
      </c>
      <c r="H102">
        <v>51</v>
      </c>
      <c r="I102">
        <v>12</v>
      </c>
      <c r="J102">
        <v>8</v>
      </c>
      <c r="K102">
        <v>2025</v>
      </c>
    </row>
    <row r="103" spans="1:11" x14ac:dyDescent="0.25">
      <c r="A103" s="1">
        <v>46000</v>
      </c>
      <c r="B103">
        <v>49</v>
      </c>
      <c r="C103" t="s">
        <v>23</v>
      </c>
      <c r="D103" t="s">
        <v>131</v>
      </c>
      <c r="E103" t="s">
        <v>11</v>
      </c>
      <c r="F103" t="s">
        <v>132</v>
      </c>
      <c r="G103" s="1">
        <v>46006</v>
      </c>
      <c r="H103">
        <v>51</v>
      </c>
      <c r="I103">
        <v>12</v>
      </c>
      <c r="J103">
        <v>9</v>
      </c>
      <c r="K103">
        <v>2025</v>
      </c>
    </row>
    <row r="104" spans="1:11" ht="150" x14ac:dyDescent="0.25">
      <c r="A104" s="1">
        <v>46001</v>
      </c>
      <c r="B104">
        <v>50</v>
      </c>
      <c r="C104" t="s">
        <v>18</v>
      </c>
      <c r="D104" t="s">
        <v>148</v>
      </c>
      <c r="E104" t="s">
        <v>21</v>
      </c>
      <c r="F104" s="6" t="s">
        <v>147</v>
      </c>
      <c r="G104" s="1">
        <v>46006</v>
      </c>
      <c r="H104">
        <v>51</v>
      </c>
      <c r="I104">
        <v>12</v>
      </c>
      <c r="J104">
        <v>10</v>
      </c>
      <c r="K104">
        <v>2025</v>
      </c>
    </row>
    <row r="105" spans="1:11" x14ac:dyDescent="0.25">
      <c r="A105" s="1">
        <v>46001</v>
      </c>
      <c r="B105">
        <v>51</v>
      </c>
      <c r="C105" t="s">
        <v>26</v>
      </c>
      <c r="D105" t="s">
        <v>135</v>
      </c>
      <c r="E105" t="s">
        <v>11</v>
      </c>
      <c r="F105" t="s">
        <v>139</v>
      </c>
      <c r="G105" s="1">
        <v>46006</v>
      </c>
      <c r="H105">
        <v>51</v>
      </c>
      <c r="I105">
        <v>12</v>
      </c>
      <c r="J105">
        <v>10</v>
      </c>
      <c r="K105">
        <v>2025</v>
      </c>
    </row>
    <row r="106" spans="1:11" x14ac:dyDescent="0.25">
      <c r="A106" s="1">
        <v>46001</v>
      </c>
      <c r="B106">
        <v>52</v>
      </c>
      <c r="C106" t="s">
        <v>18</v>
      </c>
      <c r="D106" t="s">
        <v>136</v>
      </c>
      <c r="E106" t="s">
        <v>21</v>
      </c>
      <c r="F106" t="s">
        <v>143</v>
      </c>
      <c r="G106" s="1">
        <v>46006</v>
      </c>
      <c r="H106">
        <v>51</v>
      </c>
      <c r="I106">
        <v>12</v>
      </c>
      <c r="J106">
        <v>10</v>
      </c>
      <c r="K106">
        <v>2025</v>
      </c>
    </row>
    <row r="107" spans="1:11" x14ac:dyDescent="0.25">
      <c r="A107" s="1">
        <v>46001</v>
      </c>
      <c r="B107">
        <v>53</v>
      </c>
      <c r="C107" t="s">
        <v>26</v>
      </c>
      <c r="D107" t="s">
        <v>137</v>
      </c>
      <c r="E107" t="s">
        <v>21</v>
      </c>
      <c r="F107" t="s">
        <v>138</v>
      </c>
      <c r="G107" s="1">
        <v>46006</v>
      </c>
      <c r="H107">
        <v>51</v>
      </c>
      <c r="I107">
        <v>12</v>
      </c>
      <c r="J107">
        <v>10</v>
      </c>
      <c r="K107">
        <v>2025</v>
      </c>
    </row>
    <row r="108" spans="1:11" x14ac:dyDescent="0.25">
      <c r="A108" s="1">
        <v>46001</v>
      </c>
      <c r="B108">
        <v>54</v>
      </c>
      <c r="C108" t="s">
        <v>26</v>
      </c>
      <c r="D108" t="s">
        <v>141</v>
      </c>
      <c r="E108" t="s">
        <v>11</v>
      </c>
      <c r="G108" s="1">
        <v>46006</v>
      </c>
      <c r="H108">
        <v>51</v>
      </c>
      <c r="I108">
        <v>12</v>
      </c>
      <c r="J108">
        <v>10</v>
      </c>
      <c r="K108">
        <v>2025</v>
      </c>
    </row>
    <row r="109" spans="1:11" x14ac:dyDescent="0.25">
      <c r="A109" s="1">
        <v>46001</v>
      </c>
      <c r="B109">
        <v>55</v>
      </c>
      <c r="C109" t="s">
        <v>26</v>
      </c>
      <c r="D109" t="s">
        <v>142</v>
      </c>
      <c r="E109" t="s">
        <v>21</v>
      </c>
      <c r="F109" t="s">
        <v>154</v>
      </c>
      <c r="G109" s="1">
        <v>46006</v>
      </c>
      <c r="H109">
        <v>51</v>
      </c>
      <c r="I109">
        <v>12</v>
      </c>
      <c r="J109">
        <v>10</v>
      </c>
      <c r="K109">
        <v>2025</v>
      </c>
    </row>
    <row r="110" spans="1:11" x14ac:dyDescent="0.25">
      <c r="A110" s="1">
        <v>46002</v>
      </c>
      <c r="B110">
        <v>56</v>
      </c>
      <c r="C110" t="s">
        <v>14</v>
      </c>
      <c r="D110" t="s">
        <v>145</v>
      </c>
      <c r="E110" t="s">
        <v>10</v>
      </c>
      <c r="F110" t="s">
        <v>146</v>
      </c>
      <c r="G110" s="1">
        <v>46006</v>
      </c>
      <c r="H110">
        <v>51</v>
      </c>
      <c r="I110">
        <v>12</v>
      </c>
      <c r="J110">
        <v>11</v>
      </c>
      <c r="K110">
        <v>2025</v>
      </c>
    </row>
    <row r="111" spans="1:11" x14ac:dyDescent="0.25">
      <c r="A111" s="1">
        <v>46002</v>
      </c>
      <c r="B111">
        <v>57</v>
      </c>
      <c r="C111" t="s">
        <v>14</v>
      </c>
      <c r="D111" t="s">
        <v>149</v>
      </c>
      <c r="E111" t="s">
        <v>11</v>
      </c>
      <c r="G111" s="1">
        <v>46006</v>
      </c>
      <c r="H111">
        <v>51</v>
      </c>
      <c r="I111">
        <v>12</v>
      </c>
      <c r="J111">
        <v>11</v>
      </c>
      <c r="K111">
        <v>2025</v>
      </c>
    </row>
    <row r="112" spans="1:11" x14ac:dyDescent="0.25">
      <c r="A112" s="1">
        <v>46006</v>
      </c>
      <c r="B112">
        <v>58</v>
      </c>
      <c r="C112" t="s">
        <v>152</v>
      </c>
      <c r="D112" t="s">
        <v>150</v>
      </c>
      <c r="E112" t="s">
        <v>10</v>
      </c>
      <c r="F112" t="s">
        <v>151</v>
      </c>
      <c r="G112" s="1">
        <v>46006</v>
      </c>
      <c r="H112">
        <v>51</v>
      </c>
      <c r="I112">
        <v>12</v>
      </c>
      <c r="J112">
        <v>15</v>
      </c>
      <c r="K112">
        <v>2025</v>
      </c>
    </row>
    <row r="113" spans="1:11" x14ac:dyDescent="0.25">
      <c r="A113" s="1">
        <v>46006</v>
      </c>
      <c r="B113">
        <v>59</v>
      </c>
      <c r="C113" t="s">
        <v>14</v>
      </c>
      <c r="D113" t="s">
        <v>155</v>
      </c>
      <c r="E113" t="s">
        <v>21</v>
      </c>
      <c r="F113" t="s">
        <v>156</v>
      </c>
      <c r="G113" s="1">
        <v>46006</v>
      </c>
      <c r="H113">
        <v>51</v>
      </c>
      <c r="I113">
        <v>12</v>
      </c>
      <c r="J113">
        <v>15</v>
      </c>
      <c r="K113">
        <v>2025</v>
      </c>
    </row>
    <row r="114" spans="1:11" x14ac:dyDescent="0.25">
      <c r="A114" s="1">
        <v>46006</v>
      </c>
      <c r="B114">
        <v>60</v>
      </c>
      <c r="C114" t="s">
        <v>23</v>
      </c>
      <c r="D114" t="s">
        <v>157</v>
      </c>
      <c r="E114" t="s">
        <v>11</v>
      </c>
      <c r="G114" s="1">
        <v>46006</v>
      </c>
      <c r="H114">
        <v>51</v>
      </c>
      <c r="I114">
        <v>12</v>
      </c>
      <c r="J114">
        <v>15</v>
      </c>
      <c r="K114">
        <v>2025</v>
      </c>
    </row>
    <row r="115" spans="1:11" x14ac:dyDescent="0.25">
      <c r="A115" s="1">
        <v>46006</v>
      </c>
      <c r="B115">
        <v>61</v>
      </c>
      <c r="C115" t="s">
        <v>26</v>
      </c>
      <c r="D115" t="s">
        <v>158</v>
      </c>
      <c r="E115" t="s">
        <v>10</v>
      </c>
      <c r="F115" t="s">
        <v>159</v>
      </c>
      <c r="G115" s="1">
        <v>46006</v>
      </c>
      <c r="H115">
        <v>51</v>
      </c>
      <c r="I115">
        <v>12</v>
      </c>
      <c r="J115">
        <v>15</v>
      </c>
      <c r="K115">
        <v>2025</v>
      </c>
    </row>
    <row r="116" spans="1:11" x14ac:dyDescent="0.25">
      <c r="A116" s="1">
        <v>46006</v>
      </c>
      <c r="B116">
        <v>62</v>
      </c>
      <c r="C116" t="s">
        <v>26</v>
      </c>
      <c r="D116" t="s">
        <v>160</v>
      </c>
      <c r="E116" t="s">
        <v>10</v>
      </c>
      <c r="F116" t="s">
        <v>161</v>
      </c>
      <c r="G116" s="1">
        <v>46006</v>
      </c>
      <c r="H116">
        <v>51</v>
      </c>
      <c r="I116">
        <v>12</v>
      </c>
      <c r="J116">
        <v>15</v>
      </c>
      <c r="K116">
        <v>2025</v>
      </c>
    </row>
    <row r="117" spans="1:11" x14ac:dyDescent="0.25">
      <c r="A117" s="1">
        <v>46006</v>
      </c>
      <c r="B117">
        <v>63</v>
      </c>
      <c r="C117" t="s">
        <v>26</v>
      </c>
      <c r="D117" t="s">
        <v>162</v>
      </c>
      <c r="E117" t="s">
        <v>11</v>
      </c>
      <c r="F117" t="s">
        <v>163</v>
      </c>
      <c r="G117" s="1">
        <v>46006</v>
      </c>
      <c r="H117">
        <v>51</v>
      </c>
      <c r="I117">
        <v>12</v>
      </c>
      <c r="J117">
        <v>15</v>
      </c>
      <c r="K117">
        <v>2025</v>
      </c>
    </row>
    <row r="118" spans="1:11" x14ac:dyDescent="0.25">
      <c r="A118" s="1">
        <v>46006</v>
      </c>
      <c r="B118">
        <v>64</v>
      </c>
      <c r="C118" t="s">
        <v>18</v>
      </c>
      <c r="D118" t="s">
        <v>164</v>
      </c>
      <c r="E118" t="s">
        <v>11</v>
      </c>
      <c r="F118" t="s">
        <v>165</v>
      </c>
      <c r="G118" s="1">
        <v>46006</v>
      </c>
      <c r="H118">
        <v>51</v>
      </c>
      <c r="I118">
        <v>12</v>
      </c>
      <c r="J118">
        <v>15</v>
      </c>
      <c r="K118">
        <v>2025</v>
      </c>
    </row>
    <row r="119" spans="1:11" x14ac:dyDescent="0.25">
      <c r="A119" s="1">
        <v>46006</v>
      </c>
      <c r="B119">
        <v>65</v>
      </c>
      <c r="C119" t="s">
        <v>18</v>
      </c>
      <c r="D119" t="s">
        <v>166</v>
      </c>
      <c r="E119" t="s">
        <v>11</v>
      </c>
      <c r="F119" t="s">
        <v>167</v>
      </c>
      <c r="G119" s="1">
        <v>46006</v>
      </c>
      <c r="H119">
        <v>51</v>
      </c>
      <c r="I119">
        <v>12</v>
      </c>
      <c r="J119">
        <v>15</v>
      </c>
      <c r="K119">
        <v>2025</v>
      </c>
    </row>
    <row r="120" spans="1:11" x14ac:dyDescent="0.25">
      <c r="A120" s="1">
        <v>46006</v>
      </c>
      <c r="B120">
        <v>66</v>
      </c>
      <c r="C120" t="s">
        <v>26</v>
      </c>
      <c r="D120" t="s">
        <v>168</v>
      </c>
      <c r="E120" t="s">
        <v>11</v>
      </c>
      <c r="F120" t="s">
        <v>169</v>
      </c>
      <c r="G120" s="1">
        <v>46006</v>
      </c>
      <c r="H120">
        <v>51</v>
      </c>
      <c r="I120">
        <v>12</v>
      </c>
      <c r="J120">
        <v>15</v>
      </c>
      <c r="K120">
        <v>2025</v>
      </c>
    </row>
    <row r="121" spans="1:11" x14ac:dyDescent="0.25">
      <c r="A121" s="1">
        <v>45979</v>
      </c>
      <c r="B121">
        <v>6</v>
      </c>
      <c r="C121" t="s">
        <v>14</v>
      </c>
      <c r="D121" t="s">
        <v>31</v>
      </c>
      <c r="E121" t="s">
        <v>11</v>
      </c>
      <c r="F121" t="s">
        <v>221</v>
      </c>
      <c r="G121" s="1">
        <v>46006</v>
      </c>
      <c r="H121">
        <v>51</v>
      </c>
      <c r="I121">
        <v>11</v>
      </c>
      <c r="J121">
        <v>18</v>
      </c>
      <c r="K121">
        <v>2025</v>
      </c>
    </row>
    <row r="122" spans="1:11" x14ac:dyDescent="0.25">
      <c r="A122" s="1">
        <v>45979</v>
      </c>
      <c r="B122">
        <v>10</v>
      </c>
      <c r="C122" t="s">
        <v>20</v>
      </c>
      <c r="D122" t="s">
        <v>36</v>
      </c>
      <c r="E122" t="s">
        <v>77</v>
      </c>
      <c r="F122" t="s">
        <v>37</v>
      </c>
      <c r="G122" s="1">
        <v>46006</v>
      </c>
      <c r="H122">
        <v>51</v>
      </c>
      <c r="I122">
        <v>11</v>
      </c>
      <c r="J122">
        <v>18</v>
      </c>
      <c r="K122">
        <v>2025</v>
      </c>
    </row>
    <row r="123" spans="1:11" x14ac:dyDescent="0.25">
      <c r="A123" s="1">
        <v>45980</v>
      </c>
      <c r="B123">
        <v>12</v>
      </c>
      <c r="C123" t="s">
        <v>16</v>
      </c>
      <c r="D123" t="s">
        <v>43</v>
      </c>
      <c r="E123" t="s">
        <v>77</v>
      </c>
      <c r="F123" t="s">
        <v>44</v>
      </c>
      <c r="G123" s="1">
        <v>46006</v>
      </c>
      <c r="H123">
        <v>51</v>
      </c>
      <c r="I123">
        <v>11</v>
      </c>
      <c r="J123">
        <v>19</v>
      </c>
      <c r="K123">
        <v>2025</v>
      </c>
    </row>
    <row r="124" spans="1:11" x14ac:dyDescent="0.25">
      <c r="A124" s="1">
        <v>45987</v>
      </c>
      <c r="B124">
        <v>13</v>
      </c>
      <c r="C124" t="s">
        <v>26</v>
      </c>
      <c r="D124" t="s">
        <v>74</v>
      </c>
      <c r="E124" t="s">
        <v>11</v>
      </c>
      <c r="F124" t="s">
        <v>101</v>
      </c>
      <c r="G124" s="1">
        <v>46006</v>
      </c>
      <c r="H124">
        <v>51</v>
      </c>
      <c r="I124">
        <v>11</v>
      </c>
      <c r="J124">
        <v>26</v>
      </c>
      <c r="K124">
        <v>2025</v>
      </c>
    </row>
    <row r="125" spans="1:11" x14ac:dyDescent="0.25">
      <c r="A125" s="1">
        <v>45992</v>
      </c>
      <c r="B125">
        <v>25</v>
      </c>
      <c r="C125" t="s">
        <v>15</v>
      </c>
      <c r="D125" t="s">
        <v>75</v>
      </c>
      <c r="E125" t="s">
        <v>77</v>
      </c>
      <c r="F125" t="s">
        <v>76</v>
      </c>
      <c r="G125" s="1">
        <v>46006</v>
      </c>
      <c r="H125">
        <v>51</v>
      </c>
      <c r="I125">
        <v>12</v>
      </c>
      <c r="J125">
        <v>1</v>
      </c>
      <c r="K125">
        <v>2025</v>
      </c>
    </row>
    <row r="126" spans="1:11" x14ac:dyDescent="0.25">
      <c r="A126" s="1">
        <v>45993</v>
      </c>
      <c r="B126">
        <v>27</v>
      </c>
      <c r="C126" t="s">
        <v>38</v>
      </c>
      <c r="D126" t="s">
        <v>80</v>
      </c>
      <c r="E126" t="s">
        <v>10</v>
      </c>
      <c r="F126" t="s">
        <v>121</v>
      </c>
      <c r="G126" s="1">
        <v>46006</v>
      </c>
      <c r="H126">
        <v>51</v>
      </c>
      <c r="I126">
        <v>12</v>
      </c>
      <c r="J126">
        <v>2</v>
      </c>
      <c r="K126">
        <v>2025</v>
      </c>
    </row>
    <row r="127" spans="1:11" x14ac:dyDescent="0.25">
      <c r="A127" s="1">
        <v>45993</v>
      </c>
      <c r="B127">
        <v>30</v>
      </c>
      <c r="C127" t="s">
        <v>15</v>
      </c>
      <c r="D127" t="s">
        <v>86</v>
      </c>
      <c r="E127" t="s">
        <v>11</v>
      </c>
      <c r="F127" t="s">
        <v>103</v>
      </c>
      <c r="G127" s="1">
        <v>46006</v>
      </c>
      <c r="H127">
        <v>51</v>
      </c>
      <c r="I127">
        <v>12</v>
      </c>
      <c r="J127">
        <v>2</v>
      </c>
      <c r="K127">
        <v>2025</v>
      </c>
    </row>
    <row r="128" spans="1:11" x14ac:dyDescent="0.25">
      <c r="A128" s="1">
        <v>45995</v>
      </c>
      <c r="B128">
        <v>38</v>
      </c>
      <c r="C128" t="s">
        <v>38</v>
      </c>
      <c r="D128" t="s">
        <v>106</v>
      </c>
      <c r="E128" t="s">
        <v>77</v>
      </c>
      <c r="F128" t="s">
        <v>107</v>
      </c>
      <c r="G128" s="1">
        <v>46006</v>
      </c>
      <c r="H128">
        <v>51</v>
      </c>
      <c r="I128">
        <v>12</v>
      </c>
      <c r="J128">
        <v>4</v>
      </c>
      <c r="K128">
        <v>2025</v>
      </c>
    </row>
    <row r="129" spans="1:11" x14ac:dyDescent="0.25">
      <c r="A129" s="1">
        <v>45995</v>
      </c>
      <c r="B129">
        <v>41</v>
      </c>
      <c r="C129" t="s">
        <v>26</v>
      </c>
      <c r="D129" t="s">
        <v>112</v>
      </c>
      <c r="E129" t="s">
        <v>77</v>
      </c>
      <c r="F129" t="s">
        <v>144</v>
      </c>
      <c r="G129" s="1">
        <v>46006</v>
      </c>
      <c r="H129">
        <v>51</v>
      </c>
      <c r="I129">
        <v>12</v>
      </c>
      <c r="J129">
        <v>4</v>
      </c>
      <c r="K129">
        <v>2025</v>
      </c>
    </row>
    <row r="130" spans="1:11" x14ac:dyDescent="0.25">
      <c r="A130" s="1">
        <v>45995</v>
      </c>
      <c r="B130">
        <v>42</v>
      </c>
      <c r="C130" t="s">
        <v>152</v>
      </c>
      <c r="D130" t="s">
        <v>114</v>
      </c>
      <c r="E130" t="s">
        <v>77</v>
      </c>
      <c r="F130" t="s">
        <v>195</v>
      </c>
      <c r="G130" s="1">
        <v>46006</v>
      </c>
      <c r="H130">
        <v>51</v>
      </c>
      <c r="I130">
        <v>12</v>
      </c>
      <c r="J130">
        <v>4</v>
      </c>
      <c r="K130">
        <v>2025</v>
      </c>
    </row>
    <row r="131" spans="1:11" x14ac:dyDescent="0.25">
      <c r="A131" s="1">
        <v>45995</v>
      </c>
      <c r="B131">
        <v>43</v>
      </c>
      <c r="C131" t="s">
        <v>152</v>
      </c>
      <c r="D131" t="s">
        <v>115</v>
      </c>
      <c r="E131" t="s">
        <v>77</v>
      </c>
      <c r="F131" t="s">
        <v>194</v>
      </c>
      <c r="G131" s="1">
        <v>46006</v>
      </c>
      <c r="H131">
        <v>51</v>
      </c>
      <c r="I131">
        <v>12</v>
      </c>
      <c r="J131">
        <v>4</v>
      </c>
      <c r="K131">
        <v>2025</v>
      </c>
    </row>
    <row r="132" spans="1:11" x14ac:dyDescent="0.25">
      <c r="A132" s="1">
        <v>45999</v>
      </c>
      <c r="B132">
        <v>45</v>
      </c>
      <c r="C132" t="s">
        <v>26</v>
      </c>
      <c r="D132" t="s">
        <v>128</v>
      </c>
      <c r="E132" t="s">
        <v>10</v>
      </c>
      <c r="F132" t="s">
        <v>123</v>
      </c>
      <c r="G132" s="1">
        <v>46006</v>
      </c>
      <c r="H132">
        <v>51</v>
      </c>
      <c r="I132">
        <v>12</v>
      </c>
      <c r="J132">
        <v>8</v>
      </c>
      <c r="K132">
        <v>2025</v>
      </c>
    </row>
    <row r="133" spans="1:11" x14ac:dyDescent="0.25">
      <c r="A133" s="1">
        <v>46000</v>
      </c>
      <c r="B133">
        <v>49</v>
      </c>
      <c r="C133" t="s">
        <v>23</v>
      </c>
      <c r="D133" t="s">
        <v>131</v>
      </c>
      <c r="E133" t="s">
        <v>11</v>
      </c>
      <c r="F133" t="s">
        <v>132</v>
      </c>
      <c r="G133" s="1">
        <v>46006</v>
      </c>
      <c r="H133">
        <v>51</v>
      </c>
      <c r="I133">
        <v>12</v>
      </c>
      <c r="J133">
        <v>9</v>
      </c>
      <c r="K133">
        <v>2025</v>
      </c>
    </row>
    <row r="134" spans="1:11" x14ac:dyDescent="0.25">
      <c r="A134" s="1">
        <v>46001</v>
      </c>
      <c r="B134">
        <v>51</v>
      </c>
      <c r="C134" t="s">
        <v>26</v>
      </c>
      <c r="D134" t="s">
        <v>135</v>
      </c>
      <c r="E134" t="s">
        <v>21</v>
      </c>
      <c r="F134" t="s">
        <v>139</v>
      </c>
      <c r="G134" s="1">
        <v>46006</v>
      </c>
      <c r="H134">
        <v>51</v>
      </c>
      <c r="I134">
        <v>12</v>
      </c>
      <c r="J134">
        <v>10</v>
      </c>
      <c r="K134">
        <v>2025</v>
      </c>
    </row>
    <row r="135" spans="1:11" x14ac:dyDescent="0.25">
      <c r="A135" s="1">
        <v>46001</v>
      </c>
      <c r="B135">
        <v>54</v>
      </c>
      <c r="C135" t="s">
        <v>26</v>
      </c>
      <c r="D135" t="s">
        <v>141</v>
      </c>
      <c r="E135" t="s">
        <v>11</v>
      </c>
      <c r="G135" s="1">
        <v>46006</v>
      </c>
      <c r="H135">
        <v>51</v>
      </c>
      <c r="I135">
        <v>12</v>
      </c>
      <c r="J135">
        <v>10</v>
      </c>
      <c r="K135">
        <v>2025</v>
      </c>
    </row>
    <row r="136" spans="1:11" x14ac:dyDescent="0.25">
      <c r="A136" s="1">
        <v>46002</v>
      </c>
      <c r="B136">
        <v>56</v>
      </c>
      <c r="C136" t="s">
        <v>14</v>
      </c>
      <c r="D136" t="s">
        <v>145</v>
      </c>
      <c r="E136" t="s">
        <v>10</v>
      </c>
      <c r="F136" t="s">
        <v>146</v>
      </c>
      <c r="G136" s="1">
        <v>46006</v>
      </c>
      <c r="H136">
        <v>51</v>
      </c>
      <c r="I136">
        <v>12</v>
      </c>
      <c r="J136">
        <v>11</v>
      </c>
      <c r="K136">
        <v>2025</v>
      </c>
    </row>
    <row r="137" spans="1:11" x14ac:dyDescent="0.25">
      <c r="A137" s="1">
        <v>46002</v>
      </c>
      <c r="B137">
        <v>57</v>
      </c>
      <c r="C137" t="s">
        <v>14</v>
      </c>
      <c r="D137" t="s">
        <v>149</v>
      </c>
      <c r="E137" t="s">
        <v>11</v>
      </c>
      <c r="G137" s="1">
        <v>46006</v>
      </c>
      <c r="H137">
        <v>51</v>
      </c>
      <c r="I137">
        <v>12</v>
      </c>
      <c r="J137">
        <v>11</v>
      </c>
      <c r="K137">
        <v>2025</v>
      </c>
    </row>
    <row r="138" spans="1:11" ht="30" x14ac:dyDescent="0.25">
      <c r="A138" s="1">
        <v>46006</v>
      </c>
      <c r="B138">
        <v>58</v>
      </c>
      <c r="C138" t="s">
        <v>152</v>
      </c>
      <c r="D138" t="s">
        <v>150</v>
      </c>
      <c r="E138" t="s">
        <v>77</v>
      </c>
      <c r="F138" s="6" t="s">
        <v>193</v>
      </c>
      <c r="G138" s="1">
        <v>46006</v>
      </c>
      <c r="H138">
        <v>51</v>
      </c>
      <c r="I138">
        <v>12</v>
      </c>
      <c r="J138">
        <v>15</v>
      </c>
      <c r="K138">
        <v>2025</v>
      </c>
    </row>
    <row r="139" spans="1:11" x14ac:dyDescent="0.25">
      <c r="A139" s="1">
        <v>46006</v>
      </c>
      <c r="B139">
        <v>60</v>
      </c>
      <c r="C139" t="s">
        <v>23</v>
      </c>
      <c r="D139" t="s">
        <v>157</v>
      </c>
      <c r="E139" t="s">
        <v>21</v>
      </c>
      <c r="F139" t="s">
        <v>220</v>
      </c>
      <c r="G139" s="1">
        <v>46006</v>
      </c>
      <c r="H139">
        <v>51</v>
      </c>
      <c r="I139">
        <v>12</v>
      </c>
      <c r="J139">
        <v>15</v>
      </c>
      <c r="K139">
        <v>2025</v>
      </c>
    </row>
    <row r="140" spans="1:11" x14ac:dyDescent="0.25">
      <c r="A140" s="1">
        <v>46006</v>
      </c>
      <c r="B140">
        <v>61</v>
      </c>
      <c r="C140" t="s">
        <v>26</v>
      </c>
      <c r="D140" t="s">
        <v>158</v>
      </c>
      <c r="E140" t="s">
        <v>10</v>
      </c>
      <c r="F140" t="s">
        <v>159</v>
      </c>
      <c r="G140" s="1">
        <v>46006</v>
      </c>
      <c r="H140">
        <v>51</v>
      </c>
      <c r="I140">
        <v>12</v>
      </c>
      <c r="J140">
        <v>15</v>
      </c>
      <c r="K140">
        <v>2025</v>
      </c>
    </row>
    <row r="141" spans="1:11" x14ac:dyDescent="0.25">
      <c r="A141" s="1">
        <v>46006</v>
      </c>
      <c r="B141">
        <v>62</v>
      </c>
      <c r="C141" t="s">
        <v>26</v>
      </c>
      <c r="D141" t="s">
        <v>160</v>
      </c>
      <c r="E141" t="s">
        <v>10</v>
      </c>
      <c r="F141" t="s">
        <v>161</v>
      </c>
      <c r="G141" s="1">
        <v>46006</v>
      </c>
      <c r="H141">
        <v>51</v>
      </c>
      <c r="I141">
        <v>12</v>
      </c>
      <c r="J141">
        <v>15</v>
      </c>
      <c r="K141">
        <v>2025</v>
      </c>
    </row>
    <row r="142" spans="1:11" x14ac:dyDescent="0.25">
      <c r="A142" s="1">
        <v>46006</v>
      </c>
      <c r="B142">
        <v>63</v>
      </c>
      <c r="C142" t="s">
        <v>26</v>
      </c>
      <c r="D142" t="s">
        <v>162</v>
      </c>
      <c r="E142" t="s">
        <v>21</v>
      </c>
      <c r="F142" t="s">
        <v>202</v>
      </c>
      <c r="G142" s="1">
        <v>46006</v>
      </c>
      <c r="H142">
        <v>51</v>
      </c>
      <c r="I142">
        <v>12</v>
      </c>
      <c r="J142">
        <v>15</v>
      </c>
      <c r="K142">
        <v>2025</v>
      </c>
    </row>
    <row r="143" spans="1:11" x14ac:dyDescent="0.25">
      <c r="A143" s="1">
        <v>46006</v>
      </c>
      <c r="B143">
        <v>64</v>
      </c>
      <c r="C143" t="s">
        <v>18</v>
      </c>
      <c r="D143" t="s">
        <v>164</v>
      </c>
      <c r="E143" t="s">
        <v>21</v>
      </c>
      <c r="F143" t="s">
        <v>203</v>
      </c>
      <c r="G143" s="1">
        <v>46006</v>
      </c>
      <c r="H143">
        <v>51</v>
      </c>
      <c r="I143">
        <v>12</v>
      </c>
      <c r="J143">
        <v>15</v>
      </c>
      <c r="K143">
        <v>2025</v>
      </c>
    </row>
    <row r="144" spans="1:11" x14ac:dyDescent="0.25">
      <c r="A144" s="1">
        <v>46006</v>
      </c>
      <c r="B144">
        <v>65</v>
      </c>
      <c r="C144" t="s">
        <v>18</v>
      </c>
      <c r="D144" t="s">
        <v>166</v>
      </c>
      <c r="E144" t="s">
        <v>21</v>
      </c>
      <c r="F144" t="s">
        <v>215</v>
      </c>
      <c r="G144" s="1">
        <v>46006</v>
      </c>
      <c r="H144">
        <v>51</v>
      </c>
      <c r="I144">
        <v>12</v>
      </c>
      <c r="J144">
        <v>15</v>
      </c>
      <c r="K144">
        <v>2025</v>
      </c>
    </row>
    <row r="145" spans="1:11" x14ac:dyDescent="0.25">
      <c r="A145" s="1">
        <v>46006</v>
      </c>
      <c r="B145">
        <v>66</v>
      </c>
      <c r="C145" t="s">
        <v>26</v>
      </c>
      <c r="D145" t="s">
        <v>168</v>
      </c>
      <c r="E145" t="s">
        <v>21</v>
      </c>
      <c r="F145" t="s">
        <v>201</v>
      </c>
      <c r="G145" s="1">
        <v>46006</v>
      </c>
      <c r="H145">
        <v>51</v>
      </c>
      <c r="I145">
        <v>12</v>
      </c>
      <c r="J145">
        <v>15</v>
      </c>
      <c r="K145">
        <v>2025</v>
      </c>
    </row>
    <row r="146" spans="1:11" x14ac:dyDescent="0.25">
      <c r="A146" s="1">
        <v>46006</v>
      </c>
      <c r="B146">
        <v>67</v>
      </c>
      <c r="C146" t="s">
        <v>26</v>
      </c>
      <c r="D146" t="s">
        <v>196</v>
      </c>
      <c r="E146" t="s">
        <v>10</v>
      </c>
      <c r="F146" t="s">
        <v>197</v>
      </c>
      <c r="G146" s="1">
        <v>46006</v>
      </c>
      <c r="H146">
        <v>51</v>
      </c>
      <c r="I146">
        <v>12</v>
      </c>
      <c r="J146">
        <v>15</v>
      </c>
      <c r="K146">
        <v>2025</v>
      </c>
    </row>
    <row r="147" spans="1:11" x14ac:dyDescent="0.25">
      <c r="A147" s="1">
        <v>46006</v>
      </c>
      <c r="B147">
        <v>68</v>
      </c>
      <c r="C147" t="s">
        <v>152</v>
      </c>
      <c r="D147" t="s">
        <v>198</v>
      </c>
      <c r="E147" t="s">
        <v>11</v>
      </c>
      <c r="F147" t="s">
        <v>199</v>
      </c>
      <c r="G147" s="1">
        <v>46006</v>
      </c>
      <c r="H147">
        <v>51</v>
      </c>
      <c r="I147">
        <v>12</v>
      </c>
      <c r="J147">
        <v>15</v>
      </c>
      <c r="K147">
        <v>2025</v>
      </c>
    </row>
    <row r="148" spans="1:11" x14ac:dyDescent="0.25">
      <c r="A148" s="1">
        <v>46006</v>
      </c>
      <c r="B148">
        <v>69</v>
      </c>
      <c r="C148" t="s">
        <v>26</v>
      </c>
      <c r="D148" t="s">
        <v>200</v>
      </c>
      <c r="E148" t="s">
        <v>21</v>
      </c>
      <c r="F148" t="s">
        <v>207</v>
      </c>
      <c r="G148" s="1">
        <v>46006</v>
      </c>
      <c r="H148">
        <v>51</v>
      </c>
      <c r="I148">
        <v>12</v>
      </c>
      <c r="J148">
        <v>15</v>
      </c>
      <c r="K148">
        <v>2025</v>
      </c>
    </row>
    <row r="149" spans="1:11" x14ac:dyDescent="0.25">
      <c r="A149" s="1">
        <v>46008</v>
      </c>
      <c r="B149">
        <v>70</v>
      </c>
      <c r="C149" t="s">
        <v>26</v>
      </c>
      <c r="D149" t="s">
        <v>204</v>
      </c>
      <c r="E149" t="s">
        <v>21</v>
      </c>
      <c r="F149" t="s">
        <v>205</v>
      </c>
      <c r="G149" s="1">
        <v>46006</v>
      </c>
      <c r="H149">
        <v>51</v>
      </c>
      <c r="I149">
        <v>12</v>
      </c>
      <c r="J149">
        <v>17</v>
      </c>
      <c r="K149">
        <v>2025</v>
      </c>
    </row>
    <row r="150" spans="1:11" x14ac:dyDescent="0.25">
      <c r="A150" s="1">
        <v>46008</v>
      </c>
      <c r="B150">
        <v>71</v>
      </c>
      <c r="C150" t="s">
        <v>26</v>
      </c>
      <c r="D150" t="s">
        <v>206</v>
      </c>
      <c r="E150" t="s">
        <v>21</v>
      </c>
      <c r="F150" t="s">
        <v>208</v>
      </c>
      <c r="G150" s="1">
        <v>46006</v>
      </c>
      <c r="H150">
        <v>51</v>
      </c>
      <c r="I150">
        <v>12</v>
      </c>
      <c r="J150">
        <v>17</v>
      </c>
      <c r="K150">
        <v>2025</v>
      </c>
    </row>
    <row r="151" spans="1:11" x14ac:dyDescent="0.25">
      <c r="A151" s="1">
        <v>46008</v>
      </c>
      <c r="B151">
        <v>72</v>
      </c>
      <c r="C151" t="s">
        <v>152</v>
      </c>
      <c r="D151" t="s">
        <v>209</v>
      </c>
      <c r="E151" t="s">
        <v>21</v>
      </c>
      <c r="F151" t="s">
        <v>211</v>
      </c>
      <c r="G151" s="1">
        <v>46006</v>
      </c>
      <c r="H151">
        <v>51</v>
      </c>
      <c r="I151">
        <v>12</v>
      </c>
      <c r="J151">
        <v>17</v>
      </c>
      <c r="K151">
        <v>2025</v>
      </c>
    </row>
    <row r="152" spans="1:11" x14ac:dyDescent="0.25">
      <c r="A152" s="1">
        <v>46008</v>
      </c>
      <c r="B152">
        <v>73</v>
      </c>
      <c r="C152" t="s">
        <v>26</v>
      </c>
      <c r="D152" t="s">
        <v>210</v>
      </c>
      <c r="E152" t="s">
        <v>21</v>
      </c>
      <c r="F152" t="s">
        <v>212</v>
      </c>
      <c r="G152" s="1">
        <v>46006</v>
      </c>
      <c r="H152">
        <v>51</v>
      </c>
      <c r="I152">
        <v>12</v>
      </c>
      <c r="J152">
        <v>17</v>
      </c>
      <c r="K152">
        <v>2025</v>
      </c>
    </row>
    <row r="153" spans="1:11" x14ac:dyDescent="0.25">
      <c r="A153" s="1">
        <v>46008</v>
      </c>
      <c r="B153">
        <v>74</v>
      </c>
      <c r="C153" t="s">
        <v>26</v>
      </c>
      <c r="D153" t="s">
        <v>222</v>
      </c>
      <c r="E153" t="s">
        <v>11</v>
      </c>
      <c r="G153" s="1">
        <v>46006</v>
      </c>
      <c r="H153">
        <v>51</v>
      </c>
      <c r="I153">
        <v>12</v>
      </c>
      <c r="J153">
        <v>17</v>
      </c>
      <c r="K153">
        <v>2025</v>
      </c>
    </row>
    <row r="154" spans="1:11" ht="30" x14ac:dyDescent="0.25">
      <c r="A154" s="1">
        <v>46008</v>
      </c>
      <c r="B154">
        <v>75</v>
      </c>
      <c r="C154" t="s">
        <v>26</v>
      </c>
      <c r="D154" t="s">
        <v>223</v>
      </c>
      <c r="E154" t="s">
        <v>11</v>
      </c>
      <c r="F154" s="6" t="s">
        <v>213</v>
      </c>
      <c r="G154" s="1">
        <v>46006</v>
      </c>
      <c r="H154">
        <v>51</v>
      </c>
      <c r="I154">
        <v>12</v>
      </c>
      <c r="J154">
        <v>17</v>
      </c>
      <c r="K154">
        <v>2025</v>
      </c>
    </row>
    <row r="155" spans="1:11" x14ac:dyDescent="0.25">
      <c r="A155" s="1">
        <v>46009</v>
      </c>
      <c r="B155">
        <v>76</v>
      </c>
      <c r="C155" t="s">
        <v>26</v>
      </c>
      <c r="D155" t="s">
        <v>214</v>
      </c>
      <c r="E155" t="s">
        <v>11</v>
      </c>
      <c r="G155" s="1">
        <v>46006</v>
      </c>
      <c r="H155">
        <v>51</v>
      </c>
      <c r="I155">
        <v>12</v>
      </c>
      <c r="J155">
        <v>18</v>
      </c>
      <c r="K155">
        <v>2025</v>
      </c>
    </row>
    <row r="156" spans="1:11" x14ac:dyDescent="0.25">
      <c r="A156" s="1">
        <v>46009</v>
      </c>
      <c r="B156">
        <v>77</v>
      </c>
      <c r="C156" t="s">
        <v>18</v>
      </c>
      <c r="D156" t="s">
        <v>216</v>
      </c>
      <c r="E156" t="s">
        <v>10</v>
      </c>
      <c r="G156" s="1">
        <v>46006</v>
      </c>
      <c r="H156">
        <v>51</v>
      </c>
      <c r="I156">
        <v>12</v>
      </c>
      <c r="J156">
        <v>18</v>
      </c>
      <c r="K156">
        <v>2025</v>
      </c>
    </row>
    <row r="157" spans="1:11" x14ac:dyDescent="0.25">
      <c r="A157" s="1">
        <v>46009</v>
      </c>
      <c r="B157">
        <v>78</v>
      </c>
      <c r="C157" t="s">
        <v>26</v>
      </c>
      <c r="D157" t="s">
        <v>217</v>
      </c>
      <c r="E157" t="s">
        <v>11</v>
      </c>
      <c r="F157" t="s">
        <v>218</v>
      </c>
      <c r="G157" s="1">
        <v>46006</v>
      </c>
      <c r="H157">
        <v>51</v>
      </c>
      <c r="I157">
        <v>12</v>
      </c>
      <c r="J157">
        <v>18</v>
      </c>
      <c r="K157">
        <v>2025</v>
      </c>
    </row>
    <row r="158" spans="1:11" x14ac:dyDescent="0.25">
      <c r="A158" s="1">
        <v>46009</v>
      </c>
      <c r="B158">
        <v>79</v>
      </c>
      <c r="C158" t="s">
        <v>26</v>
      </c>
      <c r="D158" t="s">
        <v>219</v>
      </c>
      <c r="E158" t="s">
        <v>10</v>
      </c>
      <c r="G158" s="1">
        <v>46006</v>
      </c>
      <c r="H158">
        <v>51</v>
      </c>
      <c r="I158">
        <v>12</v>
      </c>
      <c r="J158">
        <v>18</v>
      </c>
      <c r="K158">
        <v>2025</v>
      </c>
    </row>
    <row r="159" spans="1:11" x14ac:dyDescent="0.25">
      <c r="A159" s="1">
        <v>45979</v>
      </c>
      <c r="B159">
        <v>6</v>
      </c>
      <c r="C159" t="s">
        <v>14</v>
      </c>
      <c r="D159" t="s">
        <v>31</v>
      </c>
      <c r="E159" t="s">
        <v>11</v>
      </c>
      <c r="F159" t="s">
        <v>221</v>
      </c>
      <c r="G159" s="1">
        <v>46027</v>
      </c>
      <c r="H159">
        <v>2</v>
      </c>
      <c r="I159">
        <v>11</v>
      </c>
      <c r="J159">
        <v>18</v>
      </c>
      <c r="K159">
        <v>2025</v>
      </c>
    </row>
    <row r="160" spans="1:11" x14ac:dyDescent="0.25">
      <c r="A160" s="1">
        <v>45979</v>
      </c>
      <c r="B160">
        <v>10</v>
      </c>
      <c r="C160" t="s">
        <v>20</v>
      </c>
      <c r="D160" t="s">
        <v>36</v>
      </c>
      <c r="E160" t="s">
        <v>77</v>
      </c>
      <c r="F160" t="s">
        <v>37</v>
      </c>
      <c r="G160" s="1">
        <v>46027</v>
      </c>
      <c r="H160">
        <v>2</v>
      </c>
      <c r="I160">
        <v>11</v>
      </c>
      <c r="J160">
        <v>18</v>
      </c>
      <c r="K160">
        <v>2025</v>
      </c>
    </row>
    <row r="161" spans="1:11" x14ac:dyDescent="0.25">
      <c r="A161" s="1">
        <v>45980</v>
      </c>
      <c r="B161">
        <v>12</v>
      </c>
      <c r="C161" t="s">
        <v>16</v>
      </c>
      <c r="D161" t="s">
        <v>43</v>
      </c>
      <c r="E161" t="s">
        <v>77</v>
      </c>
      <c r="F161" t="s">
        <v>44</v>
      </c>
      <c r="G161" s="1">
        <v>46027</v>
      </c>
      <c r="H161">
        <v>2</v>
      </c>
      <c r="I161">
        <v>11</v>
      </c>
      <c r="J161">
        <v>19</v>
      </c>
      <c r="K161">
        <v>2025</v>
      </c>
    </row>
    <row r="162" spans="1:11" x14ac:dyDescent="0.25">
      <c r="A162" s="1">
        <v>45987</v>
      </c>
      <c r="B162">
        <v>13</v>
      </c>
      <c r="C162" t="s">
        <v>26</v>
      </c>
      <c r="D162" t="s">
        <v>74</v>
      </c>
      <c r="E162" t="s">
        <v>11</v>
      </c>
      <c r="F162" t="s">
        <v>101</v>
      </c>
      <c r="G162" s="1">
        <v>46027</v>
      </c>
      <c r="H162">
        <v>2</v>
      </c>
      <c r="I162">
        <v>11</v>
      </c>
      <c r="J162">
        <v>26</v>
      </c>
      <c r="K162">
        <v>2025</v>
      </c>
    </row>
    <row r="163" spans="1:11" x14ac:dyDescent="0.25">
      <c r="A163" s="1">
        <v>45992</v>
      </c>
      <c r="B163">
        <v>25</v>
      </c>
      <c r="C163" t="s">
        <v>15</v>
      </c>
      <c r="D163" t="s">
        <v>75</v>
      </c>
      <c r="E163" t="s">
        <v>77</v>
      </c>
      <c r="F163" t="s">
        <v>76</v>
      </c>
      <c r="G163" s="1">
        <v>46027</v>
      </c>
      <c r="H163">
        <v>2</v>
      </c>
      <c r="I163">
        <v>12</v>
      </c>
      <c r="J163">
        <v>1</v>
      </c>
      <c r="K163">
        <v>2025</v>
      </c>
    </row>
    <row r="164" spans="1:11" x14ac:dyDescent="0.25">
      <c r="A164" s="1">
        <v>45993</v>
      </c>
      <c r="B164">
        <v>27</v>
      </c>
      <c r="C164" t="s">
        <v>38</v>
      </c>
      <c r="D164" t="s">
        <v>80</v>
      </c>
      <c r="E164" t="s">
        <v>10</v>
      </c>
      <c r="F164" t="s">
        <v>121</v>
      </c>
      <c r="G164" s="1">
        <v>46027</v>
      </c>
      <c r="H164">
        <v>2</v>
      </c>
      <c r="I164">
        <v>12</v>
      </c>
      <c r="J164">
        <v>2</v>
      </c>
      <c r="K164">
        <v>2025</v>
      </c>
    </row>
    <row r="165" spans="1:11" x14ac:dyDescent="0.25">
      <c r="A165" s="1">
        <v>45993</v>
      </c>
      <c r="B165">
        <v>30</v>
      </c>
      <c r="C165" t="s">
        <v>15</v>
      </c>
      <c r="D165" t="s">
        <v>86</v>
      </c>
      <c r="E165" t="s">
        <v>11</v>
      </c>
      <c r="F165" t="s">
        <v>103</v>
      </c>
      <c r="G165" s="1">
        <v>46027</v>
      </c>
      <c r="H165">
        <v>2</v>
      </c>
      <c r="I165">
        <v>12</v>
      </c>
      <c r="J165">
        <v>2</v>
      </c>
      <c r="K165">
        <v>2025</v>
      </c>
    </row>
    <row r="166" spans="1:11" x14ac:dyDescent="0.25">
      <c r="A166" s="1">
        <v>45995</v>
      </c>
      <c r="B166">
        <v>38</v>
      </c>
      <c r="C166" t="s">
        <v>38</v>
      </c>
      <c r="D166" t="s">
        <v>106</v>
      </c>
      <c r="E166" t="s">
        <v>77</v>
      </c>
      <c r="F166" t="s">
        <v>107</v>
      </c>
      <c r="G166" s="1">
        <v>46027</v>
      </c>
      <c r="H166">
        <v>2</v>
      </c>
      <c r="I166">
        <v>12</v>
      </c>
      <c r="J166">
        <v>4</v>
      </c>
      <c r="K166">
        <v>2025</v>
      </c>
    </row>
    <row r="167" spans="1:11" x14ac:dyDescent="0.25">
      <c r="A167" s="1">
        <v>45995</v>
      </c>
      <c r="B167">
        <v>41</v>
      </c>
      <c r="C167" t="s">
        <v>26</v>
      </c>
      <c r="D167" t="s">
        <v>112</v>
      </c>
      <c r="E167" t="s">
        <v>77</v>
      </c>
      <c r="F167" t="s">
        <v>144</v>
      </c>
      <c r="G167" s="1">
        <v>46027</v>
      </c>
      <c r="H167">
        <v>2</v>
      </c>
      <c r="I167">
        <v>12</v>
      </c>
      <c r="J167">
        <v>4</v>
      </c>
      <c r="K167">
        <v>2025</v>
      </c>
    </row>
    <row r="168" spans="1:11" x14ac:dyDescent="0.25">
      <c r="A168" s="1">
        <v>45995</v>
      </c>
      <c r="B168">
        <v>42</v>
      </c>
      <c r="C168" t="s">
        <v>152</v>
      </c>
      <c r="D168" t="s">
        <v>114</v>
      </c>
      <c r="E168" t="s">
        <v>77</v>
      </c>
      <c r="F168" t="s">
        <v>195</v>
      </c>
      <c r="G168" s="1">
        <v>46027</v>
      </c>
      <c r="H168">
        <v>2</v>
      </c>
      <c r="I168">
        <v>12</v>
      </c>
      <c r="J168">
        <v>4</v>
      </c>
      <c r="K168">
        <v>2025</v>
      </c>
    </row>
    <row r="169" spans="1:11" x14ac:dyDescent="0.25">
      <c r="A169" s="1">
        <v>45995</v>
      </c>
      <c r="B169">
        <v>43</v>
      </c>
      <c r="C169" t="s">
        <v>152</v>
      </c>
      <c r="D169" t="s">
        <v>115</v>
      </c>
      <c r="E169" t="s">
        <v>77</v>
      </c>
      <c r="F169" t="s">
        <v>194</v>
      </c>
      <c r="G169" s="1">
        <v>46027</v>
      </c>
      <c r="H169">
        <v>2</v>
      </c>
      <c r="I169">
        <v>12</v>
      </c>
      <c r="J169">
        <v>4</v>
      </c>
      <c r="K169">
        <v>2025</v>
      </c>
    </row>
    <row r="170" spans="1:11" x14ac:dyDescent="0.25">
      <c r="A170" s="1">
        <v>45999</v>
      </c>
      <c r="B170">
        <v>45</v>
      </c>
      <c r="C170" t="s">
        <v>26</v>
      </c>
      <c r="D170" t="s">
        <v>128</v>
      </c>
      <c r="E170" t="s">
        <v>10</v>
      </c>
      <c r="F170" t="s">
        <v>123</v>
      </c>
      <c r="G170" s="1">
        <v>46027</v>
      </c>
      <c r="H170">
        <v>2</v>
      </c>
      <c r="I170">
        <v>12</v>
      </c>
      <c r="J170">
        <v>8</v>
      </c>
      <c r="K170">
        <v>2025</v>
      </c>
    </row>
    <row r="171" spans="1:11" x14ac:dyDescent="0.25">
      <c r="A171" s="1">
        <v>46000</v>
      </c>
      <c r="B171">
        <v>49</v>
      </c>
      <c r="C171" t="s">
        <v>23</v>
      </c>
      <c r="D171" t="s">
        <v>131</v>
      </c>
      <c r="E171" t="s">
        <v>11</v>
      </c>
      <c r="F171" t="s">
        <v>132</v>
      </c>
      <c r="G171" s="1">
        <v>46027</v>
      </c>
      <c r="H171">
        <v>2</v>
      </c>
      <c r="I171">
        <v>12</v>
      </c>
      <c r="J171">
        <v>9</v>
      </c>
      <c r="K171">
        <v>2025</v>
      </c>
    </row>
    <row r="172" spans="1:11" x14ac:dyDescent="0.25">
      <c r="A172" s="1">
        <v>46001</v>
      </c>
      <c r="B172">
        <v>54</v>
      </c>
      <c r="C172" t="s">
        <v>26</v>
      </c>
      <c r="D172" t="s">
        <v>141</v>
      </c>
      <c r="E172" t="s">
        <v>11</v>
      </c>
      <c r="G172" s="1">
        <v>46027</v>
      </c>
      <c r="H172">
        <v>2</v>
      </c>
      <c r="I172">
        <v>12</v>
      </c>
      <c r="J172">
        <v>10</v>
      </c>
      <c r="K172">
        <v>2025</v>
      </c>
    </row>
    <row r="173" spans="1:11" x14ac:dyDescent="0.25">
      <c r="A173" s="1">
        <v>46002</v>
      </c>
      <c r="B173">
        <v>56</v>
      </c>
      <c r="C173" t="s">
        <v>14</v>
      </c>
      <c r="D173" t="s">
        <v>145</v>
      </c>
      <c r="E173" t="s">
        <v>10</v>
      </c>
      <c r="F173" t="s">
        <v>146</v>
      </c>
      <c r="G173" s="1">
        <v>46027</v>
      </c>
      <c r="H173">
        <v>2</v>
      </c>
      <c r="I173">
        <v>12</v>
      </c>
      <c r="J173">
        <v>11</v>
      </c>
      <c r="K173">
        <v>2025</v>
      </c>
    </row>
    <row r="174" spans="1:11" x14ac:dyDescent="0.25">
      <c r="A174" s="1">
        <v>46002</v>
      </c>
      <c r="B174">
        <v>57</v>
      </c>
      <c r="C174" t="s">
        <v>14</v>
      </c>
      <c r="D174" t="s">
        <v>149</v>
      </c>
      <c r="E174" t="s">
        <v>11</v>
      </c>
      <c r="G174" s="1">
        <v>46027</v>
      </c>
      <c r="H174">
        <v>2</v>
      </c>
      <c r="I174">
        <v>12</v>
      </c>
      <c r="J174">
        <v>11</v>
      </c>
      <c r="K174">
        <v>2025</v>
      </c>
    </row>
    <row r="175" spans="1:11" ht="30" x14ac:dyDescent="0.25">
      <c r="A175" s="1">
        <v>46006</v>
      </c>
      <c r="B175">
        <v>58</v>
      </c>
      <c r="C175" t="s">
        <v>152</v>
      </c>
      <c r="D175" t="s">
        <v>150</v>
      </c>
      <c r="E175" t="s">
        <v>77</v>
      </c>
      <c r="F175" s="6" t="s">
        <v>193</v>
      </c>
      <c r="G175" s="1">
        <v>46027</v>
      </c>
      <c r="H175">
        <v>2</v>
      </c>
      <c r="I175">
        <v>12</v>
      </c>
      <c r="J175">
        <v>15</v>
      </c>
      <c r="K175">
        <v>2025</v>
      </c>
    </row>
    <row r="176" spans="1:11" x14ac:dyDescent="0.25">
      <c r="A176" s="1">
        <v>46006</v>
      </c>
      <c r="B176">
        <v>61</v>
      </c>
      <c r="C176" t="s">
        <v>26</v>
      </c>
      <c r="D176" t="s">
        <v>158</v>
      </c>
      <c r="E176" t="s">
        <v>10</v>
      </c>
      <c r="F176" t="s">
        <v>159</v>
      </c>
      <c r="G176" s="1">
        <v>46027</v>
      </c>
      <c r="H176">
        <v>2</v>
      </c>
      <c r="I176">
        <v>12</v>
      </c>
      <c r="J176">
        <v>15</v>
      </c>
      <c r="K176">
        <v>2025</v>
      </c>
    </row>
    <row r="177" spans="1:11" x14ac:dyDescent="0.25">
      <c r="A177" s="1">
        <v>46006</v>
      </c>
      <c r="B177">
        <v>62</v>
      </c>
      <c r="C177" t="s">
        <v>26</v>
      </c>
      <c r="D177" t="s">
        <v>160</v>
      </c>
      <c r="E177" t="s">
        <v>10</v>
      </c>
      <c r="F177" t="s">
        <v>161</v>
      </c>
      <c r="G177" s="1">
        <v>46027</v>
      </c>
      <c r="H177">
        <v>2</v>
      </c>
      <c r="I177">
        <v>12</v>
      </c>
      <c r="J177">
        <v>15</v>
      </c>
      <c r="K177">
        <v>2025</v>
      </c>
    </row>
    <row r="178" spans="1:11" x14ac:dyDescent="0.25">
      <c r="A178" s="1">
        <v>46006</v>
      </c>
      <c r="B178">
        <v>67</v>
      </c>
      <c r="C178" t="s">
        <v>26</v>
      </c>
      <c r="D178" t="s">
        <v>196</v>
      </c>
      <c r="E178" t="s">
        <v>10</v>
      </c>
      <c r="F178" t="s">
        <v>197</v>
      </c>
      <c r="G178" s="1">
        <v>46027</v>
      </c>
      <c r="H178">
        <v>2</v>
      </c>
      <c r="I178">
        <v>12</v>
      </c>
      <c r="J178">
        <v>15</v>
      </c>
      <c r="K178">
        <v>2025</v>
      </c>
    </row>
    <row r="179" spans="1:11" x14ac:dyDescent="0.25">
      <c r="A179" s="1">
        <v>46006</v>
      </c>
      <c r="B179">
        <v>68</v>
      </c>
      <c r="C179" t="s">
        <v>152</v>
      </c>
      <c r="D179" t="s">
        <v>198</v>
      </c>
      <c r="E179" t="s">
        <v>11</v>
      </c>
      <c r="F179" t="s">
        <v>199</v>
      </c>
      <c r="G179" s="1">
        <v>46027</v>
      </c>
      <c r="H179">
        <v>2</v>
      </c>
      <c r="I179">
        <v>12</v>
      </c>
      <c r="J179">
        <v>15</v>
      </c>
      <c r="K179">
        <v>2025</v>
      </c>
    </row>
    <row r="180" spans="1:11" x14ac:dyDescent="0.25">
      <c r="A180" s="1">
        <v>46008</v>
      </c>
      <c r="B180">
        <v>74</v>
      </c>
      <c r="C180" t="s">
        <v>26</v>
      </c>
      <c r="D180" t="s">
        <v>222</v>
      </c>
      <c r="E180" t="s">
        <v>11</v>
      </c>
      <c r="G180" s="1">
        <v>46027</v>
      </c>
      <c r="H180">
        <v>2</v>
      </c>
      <c r="I180">
        <v>12</v>
      </c>
      <c r="J180">
        <v>17</v>
      </c>
      <c r="K180">
        <v>2025</v>
      </c>
    </row>
    <row r="181" spans="1:11" ht="30" x14ac:dyDescent="0.25">
      <c r="A181" s="1">
        <v>46008</v>
      </c>
      <c r="B181">
        <v>75</v>
      </c>
      <c r="C181" t="s">
        <v>26</v>
      </c>
      <c r="D181" t="s">
        <v>223</v>
      </c>
      <c r="E181" t="s">
        <v>11</v>
      </c>
      <c r="F181" s="6" t="s">
        <v>213</v>
      </c>
      <c r="G181" s="1">
        <v>46027</v>
      </c>
      <c r="H181">
        <v>2</v>
      </c>
      <c r="I181">
        <v>12</v>
      </c>
      <c r="J181">
        <v>17</v>
      </c>
      <c r="K181">
        <v>2025</v>
      </c>
    </row>
    <row r="182" spans="1:11" x14ac:dyDescent="0.25">
      <c r="A182" s="1">
        <v>46009</v>
      </c>
      <c r="B182">
        <v>76</v>
      </c>
      <c r="C182" t="s">
        <v>26</v>
      </c>
      <c r="D182" t="s">
        <v>214</v>
      </c>
      <c r="E182" t="s">
        <v>11</v>
      </c>
      <c r="F182" t="s">
        <v>224</v>
      </c>
      <c r="G182" s="1">
        <v>46027</v>
      </c>
      <c r="H182">
        <v>2</v>
      </c>
      <c r="I182">
        <v>12</v>
      </c>
      <c r="J182">
        <v>18</v>
      </c>
      <c r="K182">
        <v>2025</v>
      </c>
    </row>
    <row r="183" spans="1:11" x14ac:dyDescent="0.25">
      <c r="A183" s="1">
        <v>46009</v>
      </c>
      <c r="B183">
        <v>77</v>
      </c>
      <c r="C183" t="s">
        <v>18</v>
      </c>
      <c r="D183" t="s">
        <v>216</v>
      </c>
      <c r="E183" t="s">
        <v>10</v>
      </c>
      <c r="G183" s="1">
        <v>46027</v>
      </c>
      <c r="H183">
        <v>2</v>
      </c>
      <c r="I183">
        <v>12</v>
      </c>
      <c r="J183">
        <v>18</v>
      </c>
      <c r="K183">
        <v>2025</v>
      </c>
    </row>
    <row r="184" spans="1:11" x14ac:dyDescent="0.25">
      <c r="A184" s="1">
        <v>46009</v>
      </c>
      <c r="B184">
        <v>78</v>
      </c>
      <c r="C184" t="s">
        <v>26</v>
      </c>
      <c r="D184" t="s">
        <v>217</v>
      </c>
      <c r="E184" t="s">
        <v>10</v>
      </c>
      <c r="F184" t="s">
        <v>218</v>
      </c>
      <c r="G184" s="1">
        <v>46027</v>
      </c>
      <c r="H184">
        <v>2</v>
      </c>
      <c r="I184">
        <v>12</v>
      </c>
      <c r="J184">
        <v>18</v>
      </c>
      <c r="K184">
        <v>2025</v>
      </c>
    </row>
    <row r="185" spans="1:11" x14ac:dyDescent="0.25">
      <c r="A185" s="1">
        <v>46009</v>
      </c>
      <c r="B185">
        <v>79</v>
      </c>
      <c r="C185" t="s">
        <v>26</v>
      </c>
      <c r="D185" t="s">
        <v>219</v>
      </c>
      <c r="E185" t="s">
        <v>21</v>
      </c>
      <c r="G185" s="1">
        <v>46027</v>
      </c>
      <c r="H185">
        <v>2</v>
      </c>
      <c r="I185">
        <v>12</v>
      </c>
      <c r="J185">
        <v>18</v>
      </c>
      <c r="K185">
        <v>2025</v>
      </c>
    </row>
    <row r="186" spans="1:11" x14ac:dyDescent="0.25">
      <c r="A186" s="1">
        <v>46013</v>
      </c>
      <c r="B186">
        <v>80</v>
      </c>
      <c r="C186" t="s">
        <v>26</v>
      </c>
      <c r="D186" t="s">
        <v>225</v>
      </c>
      <c r="E186" t="s">
        <v>21</v>
      </c>
      <c r="F186" t="s">
        <v>230</v>
      </c>
      <c r="G186" s="1">
        <v>46027</v>
      </c>
      <c r="H186">
        <v>2</v>
      </c>
      <c r="I186">
        <v>12</v>
      </c>
      <c r="J186">
        <v>22</v>
      </c>
      <c r="K186">
        <v>2025</v>
      </c>
    </row>
    <row r="187" spans="1:11" x14ac:dyDescent="0.25">
      <c r="A187" s="1">
        <v>46021</v>
      </c>
      <c r="B187">
        <v>81</v>
      </c>
      <c r="C187" t="s">
        <v>152</v>
      </c>
      <c r="D187" t="s">
        <v>227</v>
      </c>
      <c r="E187" t="s">
        <v>21</v>
      </c>
      <c r="F187" t="s">
        <v>226</v>
      </c>
      <c r="G187" s="1">
        <v>46027</v>
      </c>
      <c r="H187">
        <v>2</v>
      </c>
      <c r="I187">
        <v>12</v>
      </c>
      <c r="J187">
        <v>30</v>
      </c>
      <c r="K187">
        <v>2025</v>
      </c>
    </row>
    <row r="188" spans="1:11" x14ac:dyDescent="0.25">
      <c r="A188" s="1">
        <v>46028</v>
      </c>
      <c r="B188">
        <v>82</v>
      </c>
      <c r="C188" t="s">
        <v>23</v>
      </c>
      <c r="D188" t="s">
        <v>228</v>
      </c>
      <c r="E188" t="s">
        <v>21</v>
      </c>
      <c r="F188" t="s">
        <v>229</v>
      </c>
      <c r="G188" s="1">
        <v>46027</v>
      </c>
      <c r="H188">
        <v>2</v>
      </c>
      <c r="I188">
        <v>1</v>
      </c>
      <c r="J188">
        <v>6</v>
      </c>
      <c r="K188">
        <v>2026</v>
      </c>
    </row>
    <row r="189" spans="1:11" x14ac:dyDescent="0.25">
      <c r="A189" s="1">
        <v>45979</v>
      </c>
      <c r="B189">
        <v>6</v>
      </c>
      <c r="C189" t="s">
        <v>14</v>
      </c>
      <c r="D189" t="s">
        <v>31</v>
      </c>
      <c r="E189" t="s">
        <v>11</v>
      </c>
      <c r="F189" t="s">
        <v>221</v>
      </c>
      <c r="G189" s="1">
        <v>46034</v>
      </c>
      <c r="H189">
        <v>3</v>
      </c>
      <c r="I189">
        <v>11</v>
      </c>
      <c r="J189">
        <v>18</v>
      </c>
      <c r="K189">
        <v>2025</v>
      </c>
    </row>
    <row r="190" spans="1:11" x14ac:dyDescent="0.25">
      <c r="A190" s="1">
        <v>45979</v>
      </c>
      <c r="B190">
        <v>10</v>
      </c>
      <c r="C190" t="s">
        <v>20</v>
      </c>
      <c r="D190" t="s">
        <v>36</v>
      </c>
      <c r="E190" t="s">
        <v>10</v>
      </c>
      <c r="F190" t="s">
        <v>237</v>
      </c>
      <c r="G190" s="1">
        <v>46034</v>
      </c>
      <c r="H190">
        <v>3</v>
      </c>
      <c r="I190">
        <v>11</v>
      </c>
      <c r="J190">
        <v>18</v>
      </c>
      <c r="K190">
        <v>2025</v>
      </c>
    </row>
    <row r="191" spans="1:11" x14ac:dyDescent="0.25">
      <c r="A191" s="1">
        <v>45980</v>
      </c>
      <c r="B191">
        <v>12</v>
      </c>
      <c r="C191" t="s">
        <v>16</v>
      </c>
      <c r="D191" t="s">
        <v>43</v>
      </c>
      <c r="E191" t="s">
        <v>77</v>
      </c>
      <c r="F191" t="s">
        <v>44</v>
      </c>
      <c r="G191" s="1">
        <v>46034</v>
      </c>
      <c r="H191">
        <v>3</v>
      </c>
      <c r="I191">
        <v>11</v>
      </c>
      <c r="J191">
        <v>19</v>
      </c>
      <c r="K191">
        <v>2025</v>
      </c>
    </row>
    <row r="192" spans="1:11" x14ac:dyDescent="0.25">
      <c r="A192" s="1">
        <v>45987</v>
      </c>
      <c r="B192">
        <v>13</v>
      </c>
      <c r="C192" t="s">
        <v>26</v>
      </c>
      <c r="D192" t="s">
        <v>74</v>
      </c>
      <c r="E192" t="s">
        <v>11</v>
      </c>
      <c r="F192" t="s">
        <v>101</v>
      </c>
      <c r="G192" s="1">
        <v>46034</v>
      </c>
      <c r="H192">
        <v>3</v>
      </c>
      <c r="I192">
        <v>11</v>
      </c>
      <c r="J192">
        <v>26</v>
      </c>
      <c r="K192">
        <v>2025</v>
      </c>
    </row>
    <row r="193" spans="1:11" x14ac:dyDescent="0.25">
      <c r="A193" s="1">
        <v>45992</v>
      </c>
      <c r="B193">
        <v>25</v>
      </c>
      <c r="C193" t="s">
        <v>15</v>
      </c>
      <c r="D193" t="s">
        <v>75</v>
      </c>
      <c r="E193" t="s">
        <v>77</v>
      </c>
      <c r="F193" t="s">
        <v>76</v>
      </c>
      <c r="G193" s="1">
        <v>46034</v>
      </c>
      <c r="H193">
        <v>3</v>
      </c>
      <c r="I193">
        <v>12</v>
      </c>
      <c r="J193">
        <v>1</v>
      </c>
      <c r="K193">
        <v>2025</v>
      </c>
    </row>
    <row r="194" spans="1:11" x14ac:dyDescent="0.25">
      <c r="A194" s="1">
        <v>45993</v>
      </c>
      <c r="B194">
        <v>27</v>
      </c>
      <c r="C194" t="s">
        <v>38</v>
      </c>
      <c r="D194" t="s">
        <v>80</v>
      </c>
      <c r="E194" t="s">
        <v>10</v>
      </c>
      <c r="F194" t="s">
        <v>121</v>
      </c>
      <c r="G194" s="1">
        <v>46034</v>
      </c>
      <c r="H194">
        <v>3</v>
      </c>
      <c r="I194">
        <v>12</v>
      </c>
      <c r="J194">
        <v>2</v>
      </c>
      <c r="K194">
        <v>2025</v>
      </c>
    </row>
    <row r="195" spans="1:11" x14ac:dyDescent="0.25">
      <c r="A195" s="1">
        <v>45993</v>
      </c>
      <c r="B195">
        <v>30</v>
      </c>
      <c r="C195" t="s">
        <v>15</v>
      </c>
      <c r="D195" t="s">
        <v>86</v>
      </c>
      <c r="E195" t="s">
        <v>11</v>
      </c>
      <c r="F195" t="s">
        <v>103</v>
      </c>
      <c r="G195" s="1">
        <v>46034</v>
      </c>
      <c r="H195">
        <v>3</v>
      </c>
      <c r="I195">
        <v>12</v>
      </c>
      <c r="J195">
        <v>2</v>
      </c>
      <c r="K195">
        <v>2025</v>
      </c>
    </row>
    <row r="196" spans="1:11" x14ac:dyDescent="0.25">
      <c r="A196" s="1">
        <v>45995</v>
      </c>
      <c r="B196">
        <v>38</v>
      </c>
      <c r="C196" t="s">
        <v>38</v>
      </c>
      <c r="D196" t="s">
        <v>106</v>
      </c>
      <c r="E196" t="s">
        <v>77</v>
      </c>
      <c r="F196" t="s">
        <v>107</v>
      </c>
      <c r="G196" s="1">
        <v>46034</v>
      </c>
      <c r="H196">
        <v>3</v>
      </c>
      <c r="I196">
        <v>12</v>
      </c>
      <c r="J196">
        <v>4</v>
      </c>
      <c r="K196">
        <v>2025</v>
      </c>
    </row>
    <row r="197" spans="1:11" x14ac:dyDescent="0.25">
      <c r="A197" s="1">
        <v>45995</v>
      </c>
      <c r="B197">
        <v>41</v>
      </c>
      <c r="C197" t="s">
        <v>26</v>
      </c>
      <c r="D197" t="s">
        <v>112</v>
      </c>
      <c r="E197" t="s">
        <v>77</v>
      </c>
      <c r="F197" t="s">
        <v>144</v>
      </c>
      <c r="G197" s="1">
        <v>46034</v>
      </c>
      <c r="H197">
        <v>3</v>
      </c>
      <c r="I197">
        <v>12</v>
      </c>
      <c r="J197">
        <v>4</v>
      </c>
      <c r="K197">
        <v>2025</v>
      </c>
    </row>
    <row r="198" spans="1:11" x14ac:dyDescent="0.25">
      <c r="A198" s="1">
        <v>45995</v>
      </c>
      <c r="B198">
        <v>42</v>
      </c>
      <c r="C198" t="s">
        <v>152</v>
      </c>
      <c r="D198" t="s">
        <v>114</v>
      </c>
      <c r="E198" t="s">
        <v>21</v>
      </c>
      <c r="F198" t="s">
        <v>233</v>
      </c>
      <c r="G198" s="1">
        <v>46034</v>
      </c>
      <c r="H198">
        <v>3</v>
      </c>
      <c r="I198">
        <v>12</v>
      </c>
      <c r="J198">
        <v>4</v>
      </c>
      <c r="K198">
        <v>2025</v>
      </c>
    </row>
    <row r="199" spans="1:11" x14ac:dyDescent="0.25">
      <c r="A199" s="1">
        <v>45995</v>
      </c>
      <c r="B199">
        <v>43</v>
      </c>
      <c r="C199" t="s">
        <v>152</v>
      </c>
      <c r="D199" t="s">
        <v>115</v>
      </c>
      <c r="E199" t="s">
        <v>77</v>
      </c>
      <c r="F199" t="s">
        <v>235</v>
      </c>
      <c r="G199" s="1">
        <v>46034</v>
      </c>
      <c r="H199">
        <v>3</v>
      </c>
      <c r="I199">
        <v>12</v>
      </c>
      <c r="J199">
        <v>4</v>
      </c>
      <c r="K199">
        <v>2025</v>
      </c>
    </row>
    <row r="200" spans="1:11" x14ac:dyDescent="0.25">
      <c r="A200" s="1">
        <v>45999</v>
      </c>
      <c r="B200">
        <v>45</v>
      </c>
      <c r="C200" t="s">
        <v>26</v>
      </c>
      <c r="D200" t="s">
        <v>128</v>
      </c>
      <c r="E200" t="s">
        <v>10</v>
      </c>
      <c r="F200" t="s">
        <v>123</v>
      </c>
      <c r="G200" s="1">
        <v>46034</v>
      </c>
      <c r="H200">
        <v>3</v>
      </c>
      <c r="I200">
        <v>12</v>
      </c>
      <c r="J200">
        <v>8</v>
      </c>
      <c r="K200">
        <v>2025</v>
      </c>
    </row>
    <row r="201" spans="1:11" x14ac:dyDescent="0.25">
      <c r="A201" s="1">
        <v>46000</v>
      </c>
      <c r="B201">
        <v>49</v>
      </c>
      <c r="C201" t="s">
        <v>23</v>
      </c>
      <c r="D201" t="s">
        <v>131</v>
      </c>
      <c r="E201" t="s">
        <v>11</v>
      </c>
      <c r="F201" t="s">
        <v>132</v>
      </c>
      <c r="G201" s="1">
        <v>46034</v>
      </c>
      <c r="H201">
        <v>3</v>
      </c>
      <c r="I201">
        <v>12</v>
      </c>
      <c r="J201">
        <v>9</v>
      </c>
      <c r="K201">
        <v>2025</v>
      </c>
    </row>
    <row r="202" spans="1:11" x14ac:dyDescent="0.25">
      <c r="A202" s="1">
        <v>46001</v>
      </c>
      <c r="B202">
        <v>54</v>
      </c>
      <c r="C202" t="s">
        <v>26</v>
      </c>
      <c r="D202" t="s">
        <v>141</v>
      </c>
      <c r="E202" t="s">
        <v>11</v>
      </c>
      <c r="G202" s="1">
        <v>46034</v>
      </c>
      <c r="H202">
        <v>3</v>
      </c>
      <c r="I202">
        <v>12</v>
      </c>
      <c r="J202">
        <v>10</v>
      </c>
      <c r="K202">
        <v>2025</v>
      </c>
    </row>
    <row r="203" spans="1:11" x14ac:dyDescent="0.25">
      <c r="A203" s="1">
        <v>46002</v>
      </c>
      <c r="B203">
        <v>56</v>
      </c>
      <c r="C203" t="s">
        <v>14</v>
      </c>
      <c r="D203" t="s">
        <v>145</v>
      </c>
      <c r="E203" t="s">
        <v>10</v>
      </c>
      <c r="F203" t="s">
        <v>146</v>
      </c>
      <c r="G203" s="1">
        <v>46034</v>
      </c>
      <c r="H203">
        <v>3</v>
      </c>
      <c r="I203">
        <v>12</v>
      </c>
      <c r="J203">
        <v>11</v>
      </c>
      <c r="K203">
        <v>2025</v>
      </c>
    </row>
    <row r="204" spans="1:11" x14ac:dyDescent="0.25">
      <c r="A204" s="1">
        <v>46002</v>
      </c>
      <c r="B204">
        <v>57</v>
      </c>
      <c r="C204" t="s">
        <v>14</v>
      </c>
      <c r="D204" t="s">
        <v>149</v>
      </c>
      <c r="E204" t="s">
        <v>11</v>
      </c>
      <c r="G204" s="1">
        <v>46034</v>
      </c>
      <c r="H204">
        <v>3</v>
      </c>
      <c r="I204">
        <v>12</v>
      </c>
      <c r="J204">
        <v>11</v>
      </c>
      <c r="K204">
        <v>2025</v>
      </c>
    </row>
    <row r="205" spans="1:11" ht="30" x14ac:dyDescent="0.25">
      <c r="A205" s="1">
        <v>46006</v>
      </c>
      <c r="B205">
        <v>58</v>
      </c>
      <c r="C205" t="s">
        <v>152</v>
      </c>
      <c r="D205" t="s">
        <v>150</v>
      </c>
      <c r="E205" t="s">
        <v>21</v>
      </c>
      <c r="F205" s="6" t="s">
        <v>234</v>
      </c>
      <c r="G205" s="1">
        <v>46034</v>
      </c>
      <c r="H205">
        <v>3</v>
      </c>
      <c r="I205">
        <v>12</v>
      </c>
      <c r="J205">
        <v>15</v>
      </c>
      <c r="K205">
        <v>2025</v>
      </c>
    </row>
    <row r="206" spans="1:11" x14ac:dyDescent="0.25">
      <c r="A206" s="1">
        <v>46006</v>
      </c>
      <c r="B206">
        <v>61</v>
      </c>
      <c r="C206" t="s">
        <v>26</v>
      </c>
      <c r="D206" t="s">
        <v>158</v>
      </c>
      <c r="E206" t="s">
        <v>10</v>
      </c>
      <c r="F206" t="s">
        <v>159</v>
      </c>
      <c r="G206" s="1">
        <v>46034</v>
      </c>
      <c r="H206">
        <v>3</v>
      </c>
      <c r="I206">
        <v>12</v>
      </c>
      <c r="J206">
        <v>15</v>
      </c>
      <c r="K206">
        <v>2025</v>
      </c>
    </row>
    <row r="207" spans="1:11" x14ac:dyDescent="0.25">
      <c r="A207" s="1">
        <v>46006</v>
      </c>
      <c r="B207">
        <v>62</v>
      </c>
      <c r="C207" t="s">
        <v>26</v>
      </c>
      <c r="D207" t="s">
        <v>160</v>
      </c>
      <c r="E207" t="s">
        <v>10</v>
      </c>
      <c r="F207" t="s">
        <v>161</v>
      </c>
      <c r="G207" s="1">
        <v>46034</v>
      </c>
      <c r="H207">
        <v>3</v>
      </c>
      <c r="I207">
        <v>12</v>
      </c>
      <c r="J207">
        <v>15</v>
      </c>
      <c r="K207">
        <v>2025</v>
      </c>
    </row>
    <row r="208" spans="1:11" x14ac:dyDescent="0.25">
      <c r="A208" s="1">
        <v>46006</v>
      </c>
      <c r="B208">
        <v>67</v>
      </c>
      <c r="C208" t="s">
        <v>26</v>
      </c>
      <c r="D208" t="s">
        <v>196</v>
      </c>
      <c r="E208" t="s">
        <v>10</v>
      </c>
      <c r="F208" t="s">
        <v>197</v>
      </c>
      <c r="G208" s="1">
        <v>46034</v>
      </c>
      <c r="H208">
        <v>3</v>
      </c>
      <c r="I208">
        <v>12</v>
      </c>
      <c r="J208">
        <v>15</v>
      </c>
      <c r="K208">
        <v>2025</v>
      </c>
    </row>
    <row r="209" spans="1:11" x14ac:dyDescent="0.25">
      <c r="A209" s="1">
        <v>46006</v>
      </c>
      <c r="B209">
        <v>68</v>
      </c>
      <c r="C209" t="s">
        <v>152</v>
      </c>
      <c r="D209" t="s">
        <v>198</v>
      </c>
      <c r="E209" t="s">
        <v>11</v>
      </c>
      <c r="F209" t="s">
        <v>199</v>
      </c>
      <c r="G209" s="1">
        <v>46034</v>
      </c>
      <c r="H209">
        <v>3</v>
      </c>
      <c r="I209">
        <v>12</v>
      </c>
      <c r="J209">
        <v>15</v>
      </c>
      <c r="K209">
        <v>2025</v>
      </c>
    </row>
    <row r="210" spans="1:11" x14ac:dyDescent="0.25">
      <c r="A210" s="1">
        <v>46008</v>
      </c>
      <c r="B210">
        <v>74</v>
      </c>
      <c r="C210" t="s">
        <v>26</v>
      </c>
      <c r="D210" t="s">
        <v>222</v>
      </c>
      <c r="E210" t="s">
        <v>11</v>
      </c>
      <c r="G210" s="1">
        <v>46034</v>
      </c>
      <c r="H210">
        <v>3</v>
      </c>
      <c r="I210">
        <v>12</v>
      </c>
      <c r="J210">
        <v>17</v>
      </c>
      <c r="K210">
        <v>2025</v>
      </c>
    </row>
    <row r="211" spans="1:11" ht="30" x14ac:dyDescent="0.25">
      <c r="A211" s="1">
        <v>46008</v>
      </c>
      <c r="B211">
        <v>75</v>
      </c>
      <c r="C211" t="s">
        <v>26</v>
      </c>
      <c r="D211" t="s">
        <v>223</v>
      </c>
      <c r="E211" t="s">
        <v>11</v>
      </c>
      <c r="F211" s="6" t="s">
        <v>213</v>
      </c>
      <c r="G211" s="1">
        <v>46034</v>
      </c>
      <c r="H211">
        <v>3</v>
      </c>
      <c r="I211">
        <v>12</v>
      </c>
      <c r="J211">
        <v>17</v>
      </c>
      <c r="K211">
        <v>2025</v>
      </c>
    </row>
    <row r="212" spans="1:11" x14ac:dyDescent="0.25">
      <c r="A212" s="1">
        <v>46009</v>
      </c>
      <c r="B212">
        <v>76</v>
      </c>
      <c r="C212" t="s">
        <v>26</v>
      </c>
      <c r="D212" t="s">
        <v>214</v>
      </c>
      <c r="E212" t="s">
        <v>11</v>
      </c>
      <c r="F212" t="s">
        <v>224</v>
      </c>
      <c r="G212" s="1">
        <v>46034</v>
      </c>
      <c r="H212">
        <v>3</v>
      </c>
      <c r="I212">
        <v>12</v>
      </c>
      <c r="J212">
        <v>18</v>
      </c>
      <c r="K212">
        <v>2025</v>
      </c>
    </row>
    <row r="213" spans="1:11" x14ac:dyDescent="0.25">
      <c r="A213" s="1">
        <v>46009</v>
      </c>
      <c r="B213">
        <v>77</v>
      </c>
      <c r="C213" t="s">
        <v>18</v>
      </c>
      <c r="D213" t="s">
        <v>216</v>
      </c>
      <c r="E213" t="s">
        <v>10</v>
      </c>
      <c r="G213" s="1">
        <v>46034</v>
      </c>
      <c r="H213">
        <v>3</v>
      </c>
      <c r="I213">
        <v>12</v>
      </c>
      <c r="J213">
        <v>18</v>
      </c>
      <c r="K213">
        <v>2025</v>
      </c>
    </row>
    <row r="214" spans="1:11" x14ac:dyDescent="0.25">
      <c r="A214" s="1">
        <v>46009</v>
      </c>
      <c r="B214">
        <v>78</v>
      </c>
      <c r="C214" t="s">
        <v>26</v>
      </c>
      <c r="D214" t="s">
        <v>217</v>
      </c>
      <c r="E214" t="s">
        <v>10</v>
      </c>
      <c r="F214" t="s">
        <v>236</v>
      </c>
      <c r="G214" s="1">
        <v>46034</v>
      </c>
      <c r="H214">
        <v>3</v>
      </c>
      <c r="I214">
        <v>12</v>
      </c>
      <c r="J214">
        <v>18</v>
      </c>
      <c r="K214">
        <v>2025</v>
      </c>
    </row>
    <row r="215" spans="1:11" x14ac:dyDescent="0.25">
      <c r="A215" s="1">
        <v>46034</v>
      </c>
      <c r="B215">
        <v>79</v>
      </c>
      <c r="C215" t="s">
        <v>26</v>
      </c>
      <c r="D215" t="s">
        <v>231</v>
      </c>
      <c r="E215" t="s">
        <v>10</v>
      </c>
      <c r="F215" t="s">
        <v>232</v>
      </c>
      <c r="G215" s="1">
        <v>46034</v>
      </c>
      <c r="H215">
        <v>3</v>
      </c>
      <c r="I215">
        <v>1</v>
      </c>
      <c r="J215">
        <v>12</v>
      </c>
      <c r="K215">
        <v>2026</v>
      </c>
    </row>
    <row r="216" spans="1:11" x14ac:dyDescent="0.25">
      <c r="A216" s="1">
        <v>45979</v>
      </c>
      <c r="B216">
        <v>6</v>
      </c>
      <c r="C216" t="s">
        <v>14</v>
      </c>
      <c r="D216" t="s">
        <v>31</v>
      </c>
      <c r="E216" t="s">
        <v>11</v>
      </c>
      <c r="F216" t="s">
        <v>241</v>
      </c>
      <c r="G216" s="1">
        <v>46048</v>
      </c>
      <c r="H216">
        <v>5</v>
      </c>
      <c r="I216">
        <v>11</v>
      </c>
      <c r="J216">
        <v>18</v>
      </c>
      <c r="K216">
        <v>2025</v>
      </c>
    </row>
    <row r="217" spans="1:11" x14ac:dyDescent="0.25">
      <c r="A217" s="1">
        <v>45979</v>
      </c>
      <c r="B217">
        <v>10</v>
      </c>
      <c r="C217" t="s">
        <v>20</v>
      </c>
      <c r="D217" t="s">
        <v>36</v>
      </c>
      <c r="E217" t="s">
        <v>10</v>
      </c>
      <c r="F217" t="s">
        <v>238</v>
      </c>
      <c r="G217" s="1">
        <v>46048</v>
      </c>
      <c r="H217">
        <v>5</v>
      </c>
      <c r="I217">
        <v>11</v>
      </c>
      <c r="J217">
        <v>18</v>
      </c>
      <c r="K217">
        <v>2025</v>
      </c>
    </row>
    <row r="218" spans="1:11" x14ac:dyDescent="0.25">
      <c r="A218" s="1">
        <v>45980</v>
      </c>
      <c r="B218">
        <v>12</v>
      </c>
      <c r="C218" t="s">
        <v>16</v>
      </c>
      <c r="D218" t="s">
        <v>43</v>
      </c>
      <c r="E218" t="s">
        <v>77</v>
      </c>
      <c r="F218" t="s">
        <v>44</v>
      </c>
      <c r="G218" s="1">
        <v>46048</v>
      </c>
      <c r="H218">
        <v>5</v>
      </c>
      <c r="I218">
        <v>11</v>
      </c>
      <c r="J218">
        <v>19</v>
      </c>
      <c r="K218">
        <v>2025</v>
      </c>
    </row>
    <row r="219" spans="1:11" x14ac:dyDescent="0.25">
      <c r="A219" s="1">
        <v>45987</v>
      </c>
      <c r="B219">
        <v>13</v>
      </c>
      <c r="C219" t="s">
        <v>26</v>
      </c>
      <c r="D219" t="s">
        <v>74</v>
      </c>
      <c r="E219" t="s">
        <v>11</v>
      </c>
      <c r="F219" t="s">
        <v>101</v>
      </c>
      <c r="G219" s="1">
        <v>46048</v>
      </c>
      <c r="H219">
        <v>5</v>
      </c>
      <c r="I219">
        <v>11</v>
      </c>
      <c r="J219">
        <v>26</v>
      </c>
      <c r="K219">
        <v>2025</v>
      </c>
    </row>
    <row r="220" spans="1:11" x14ac:dyDescent="0.25">
      <c r="A220" s="1">
        <v>45992</v>
      </c>
      <c r="B220">
        <v>25</v>
      </c>
      <c r="C220" t="s">
        <v>15</v>
      </c>
      <c r="D220" t="s">
        <v>75</v>
      </c>
      <c r="E220" t="s">
        <v>77</v>
      </c>
      <c r="F220" t="s">
        <v>76</v>
      </c>
      <c r="G220" s="1">
        <v>46048</v>
      </c>
      <c r="H220">
        <v>5</v>
      </c>
      <c r="I220">
        <v>12</v>
      </c>
      <c r="J220">
        <v>1</v>
      </c>
      <c r="K220">
        <v>2025</v>
      </c>
    </row>
    <row r="221" spans="1:11" x14ac:dyDescent="0.25">
      <c r="A221" s="1">
        <v>45993</v>
      </c>
      <c r="B221">
        <v>27</v>
      </c>
      <c r="C221" t="s">
        <v>38</v>
      </c>
      <c r="D221" t="s">
        <v>80</v>
      </c>
      <c r="E221" t="s">
        <v>10</v>
      </c>
      <c r="F221" t="s">
        <v>121</v>
      </c>
      <c r="G221" s="1">
        <v>46048</v>
      </c>
      <c r="H221">
        <v>5</v>
      </c>
      <c r="I221">
        <v>12</v>
      </c>
      <c r="J221">
        <v>2</v>
      </c>
      <c r="K221">
        <v>2025</v>
      </c>
    </row>
    <row r="222" spans="1:11" x14ac:dyDescent="0.25">
      <c r="A222" s="1">
        <v>45993</v>
      </c>
      <c r="B222">
        <v>30</v>
      </c>
      <c r="C222" t="s">
        <v>15</v>
      </c>
      <c r="D222" t="s">
        <v>86</v>
      </c>
      <c r="E222" t="s">
        <v>11</v>
      </c>
      <c r="F222" t="s">
        <v>103</v>
      </c>
      <c r="G222" s="1">
        <v>46048</v>
      </c>
      <c r="H222">
        <v>5</v>
      </c>
      <c r="I222">
        <v>12</v>
      </c>
      <c r="J222">
        <v>2</v>
      </c>
      <c r="K222">
        <v>2025</v>
      </c>
    </row>
    <row r="223" spans="1:11" x14ac:dyDescent="0.25">
      <c r="A223" s="1">
        <v>45995</v>
      </c>
      <c r="B223">
        <v>38</v>
      </c>
      <c r="C223" t="s">
        <v>38</v>
      </c>
      <c r="D223" t="s">
        <v>106</v>
      </c>
      <c r="E223" t="s">
        <v>77</v>
      </c>
      <c r="F223" t="s">
        <v>107</v>
      </c>
      <c r="G223" s="1">
        <v>46048</v>
      </c>
      <c r="H223">
        <v>5</v>
      </c>
      <c r="I223">
        <v>12</v>
      </c>
      <c r="J223">
        <v>4</v>
      </c>
      <c r="K223">
        <v>2025</v>
      </c>
    </row>
    <row r="224" spans="1:11" x14ac:dyDescent="0.25">
      <c r="A224" s="1">
        <v>45995</v>
      </c>
      <c r="B224">
        <v>41</v>
      </c>
      <c r="C224" t="s">
        <v>26</v>
      </c>
      <c r="D224" t="s">
        <v>112</v>
      </c>
      <c r="E224" t="s">
        <v>77</v>
      </c>
      <c r="F224" t="s">
        <v>144</v>
      </c>
      <c r="G224" s="1">
        <v>46048</v>
      </c>
      <c r="H224">
        <v>5</v>
      </c>
      <c r="I224">
        <v>12</v>
      </c>
      <c r="J224">
        <v>4</v>
      </c>
      <c r="K224">
        <v>2025</v>
      </c>
    </row>
    <row r="225" spans="1:11" x14ac:dyDescent="0.25">
      <c r="A225" s="1">
        <v>45995</v>
      </c>
      <c r="B225">
        <v>43</v>
      </c>
      <c r="C225" t="s">
        <v>152</v>
      </c>
      <c r="D225" t="s">
        <v>115</v>
      </c>
      <c r="E225" t="s">
        <v>77</v>
      </c>
      <c r="F225" t="s">
        <v>235</v>
      </c>
      <c r="G225" s="1">
        <v>46048</v>
      </c>
      <c r="H225">
        <v>5</v>
      </c>
      <c r="I225">
        <v>12</v>
      </c>
      <c r="J225">
        <v>4</v>
      </c>
      <c r="K225">
        <v>2025</v>
      </c>
    </row>
    <row r="226" spans="1:11" x14ac:dyDescent="0.25">
      <c r="A226" s="1">
        <v>45999</v>
      </c>
      <c r="B226">
        <v>45</v>
      </c>
      <c r="C226" t="s">
        <v>26</v>
      </c>
      <c r="D226" t="s">
        <v>128</v>
      </c>
      <c r="E226" t="s">
        <v>10</v>
      </c>
      <c r="F226" t="s">
        <v>123</v>
      </c>
      <c r="G226" s="1">
        <v>46048</v>
      </c>
      <c r="H226">
        <v>5</v>
      </c>
      <c r="I226">
        <v>12</v>
      </c>
      <c r="J226">
        <v>8</v>
      </c>
      <c r="K226">
        <v>2025</v>
      </c>
    </row>
    <row r="227" spans="1:11" x14ac:dyDescent="0.25">
      <c r="A227" s="1">
        <v>46000</v>
      </c>
      <c r="B227">
        <v>49</v>
      </c>
      <c r="C227" t="s">
        <v>23</v>
      </c>
      <c r="D227" t="s">
        <v>131</v>
      </c>
      <c r="E227" t="s">
        <v>11</v>
      </c>
      <c r="F227" t="s">
        <v>132</v>
      </c>
      <c r="G227" s="1">
        <v>46048</v>
      </c>
      <c r="H227">
        <v>5</v>
      </c>
      <c r="I227">
        <v>12</v>
      </c>
      <c r="J227">
        <v>9</v>
      </c>
      <c r="K227">
        <v>2025</v>
      </c>
    </row>
    <row r="228" spans="1:11" x14ac:dyDescent="0.25">
      <c r="A228" s="1">
        <v>46001</v>
      </c>
      <c r="B228">
        <v>54</v>
      </c>
      <c r="C228" t="s">
        <v>26</v>
      </c>
      <c r="D228" t="s">
        <v>141</v>
      </c>
      <c r="E228" t="s">
        <v>11</v>
      </c>
      <c r="G228" s="1">
        <v>46048</v>
      </c>
      <c r="H228">
        <v>5</v>
      </c>
      <c r="I228">
        <v>12</v>
      </c>
      <c r="J228">
        <v>10</v>
      </c>
      <c r="K228">
        <v>2025</v>
      </c>
    </row>
    <row r="229" spans="1:11" x14ac:dyDescent="0.25">
      <c r="A229" s="1">
        <v>46002</v>
      </c>
      <c r="B229">
        <v>56</v>
      </c>
      <c r="C229" t="s">
        <v>14</v>
      </c>
      <c r="D229" t="s">
        <v>145</v>
      </c>
      <c r="E229" t="s">
        <v>10</v>
      </c>
      <c r="F229" t="s">
        <v>146</v>
      </c>
      <c r="G229" s="1">
        <v>46048</v>
      </c>
      <c r="H229">
        <v>5</v>
      </c>
      <c r="I229">
        <v>12</v>
      </c>
      <c r="J229">
        <v>11</v>
      </c>
      <c r="K229">
        <v>2025</v>
      </c>
    </row>
    <row r="230" spans="1:11" x14ac:dyDescent="0.25">
      <c r="A230" s="1">
        <v>46002</v>
      </c>
      <c r="B230">
        <v>57</v>
      </c>
      <c r="C230" t="s">
        <v>14</v>
      </c>
      <c r="D230" t="s">
        <v>149</v>
      </c>
      <c r="E230" t="s">
        <v>11</v>
      </c>
      <c r="G230" s="1">
        <v>46048</v>
      </c>
      <c r="H230">
        <v>5</v>
      </c>
      <c r="I230">
        <v>12</v>
      </c>
      <c r="J230">
        <v>11</v>
      </c>
      <c r="K230">
        <v>2025</v>
      </c>
    </row>
    <row r="231" spans="1:11" x14ac:dyDescent="0.25">
      <c r="A231" s="1">
        <v>46006</v>
      </c>
      <c r="B231">
        <v>61</v>
      </c>
      <c r="C231" t="s">
        <v>26</v>
      </c>
      <c r="D231" t="s">
        <v>158</v>
      </c>
      <c r="E231" t="s">
        <v>10</v>
      </c>
      <c r="F231" t="s">
        <v>159</v>
      </c>
      <c r="G231" s="1">
        <v>46048</v>
      </c>
      <c r="H231">
        <v>5</v>
      </c>
      <c r="I231">
        <v>12</v>
      </c>
      <c r="J231">
        <v>15</v>
      </c>
      <c r="K231">
        <v>2025</v>
      </c>
    </row>
    <row r="232" spans="1:11" x14ac:dyDescent="0.25">
      <c r="A232" s="1">
        <v>46006</v>
      </c>
      <c r="B232">
        <v>62</v>
      </c>
      <c r="C232" t="s">
        <v>26</v>
      </c>
      <c r="D232" t="s">
        <v>160</v>
      </c>
      <c r="E232" t="s">
        <v>21</v>
      </c>
      <c r="F232" t="s">
        <v>239</v>
      </c>
      <c r="G232" s="1">
        <v>46048</v>
      </c>
      <c r="H232">
        <v>5</v>
      </c>
      <c r="I232">
        <v>12</v>
      </c>
      <c r="J232">
        <v>15</v>
      </c>
      <c r="K232">
        <v>2025</v>
      </c>
    </row>
    <row r="233" spans="1:11" x14ac:dyDescent="0.25">
      <c r="A233" s="1">
        <v>46006</v>
      </c>
      <c r="B233">
        <v>67</v>
      </c>
      <c r="C233" t="s">
        <v>26</v>
      </c>
      <c r="D233" t="s">
        <v>196</v>
      </c>
      <c r="E233" t="s">
        <v>10</v>
      </c>
      <c r="F233" t="s">
        <v>197</v>
      </c>
      <c r="G233" s="1">
        <v>46048</v>
      </c>
      <c r="H233">
        <v>5</v>
      </c>
      <c r="I233">
        <v>12</v>
      </c>
      <c r="J233">
        <v>15</v>
      </c>
      <c r="K233">
        <v>2025</v>
      </c>
    </row>
    <row r="234" spans="1:11" x14ac:dyDescent="0.25">
      <c r="A234" s="1">
        <v>46006</v>
      </c>
      <c r="B234">
        <v>68</v>
      </c>
      <c r="C234" t="s">
        <v>152</v>
      </c>
      <c r="D234" t="s">
        <v>198</v>
      </c>
      <c r="E234" t="s">
        <v>11</v>
      </c>
      <c r="F234" t="s">
        <v>199</v>
      </c>
      <c r="G234" s="1">
        <v>46048</v>
      </c>
      <c r="H234">
        <v>5</v>
      </c>
      <c r="I234">
        <v>12</v>
      </c>
      <c r="J234">
        <v>15</v>
      </c>
      <c r="K234">
        <v>2025</v>
      </c>
    </row>
    <row r="235" spans="1:11" x14ac:dyDescent="0.25">
      <c r="A235" s="1">
        <v>46008</v>
      </c>
      <c r="B235">
        <v>74</v>
      </c>
      <c r="C235" t="s">
        <v>26</v>
      </c>
      <c r="D235" t="s">
        <v>222</v>
      </c>
      <c r="E235" t="s">
        <v>11</v>
      </c>
      <c r="G235" s="1">
        <v>46048</v>
      </c>
      <c r="H235">
        <v>5</v>
      </c>
      <c r="I235">
        <v>12</v>
      </c>
      <c r="J235">
        <v>17</v>
      </c>
      <c r="K235">
        <v>2025</v>
      </c>
    </row>
    <row r="236" spans="1:11" ht="30" x14ac:dyDescent="0.25">
      <c r="A236" s="1">
        <v>46008</v>
      </c>
      <c r="B236">
        <v>75</v>
      </c>
      <c r="C236" t="s">
        <v>26</v>
      </c>
      <c r="D236" t="s">
        <v>223</v>
      </c>
      <c r="E236" t="s">
        <v>11</v>
      </c>
      <c r="F236" s="6" t="s">
        <v>213</v>
      </c>
      <c r="G236" s="1">
        <v>46048</v>
      </c>
      <c r="H236">
        <v>5</v>
      </c>
      <c r="I236">
        <v>12</v>
      </c>
      <c r="J236">
        <v>17</v>
      </c>
      <c r="K236">
        <v>2025</v>
      </c>
    </row>
    <row r="237" spans="1:11" x14ac:dyDescent="0.25">
      <c r="A237" s="1">
        <v>46009</v>
      </c>
      <c r="B237">
        <v>76</v>
      </c>
      <c r="C237" t="s">
        <v>26</v>
      </c>
      <c r="D237" t="s">
        <v>214</v>
      </c>
      <c r="E237" t="s">
        <v>11</v>
      </c>
      <c r="F237" t="s">
        <v>224</v>
      </c>
      <c r="G237" s="1">
        <v>46048</v>
      </c>
      <c r="H237">
        <v>5</v>
      </c>
      <c r="I237">
        <v>12</v>
      </c>
      <c r="J237">
        <v>18</v>
      </c>
      <c r="K237">
        <v>2025</v>
      </c>
    </row>
    <row r="238" spans="1:11" x14ac:dyDescent="0.25">
      <c r="A238" s="1">
        <v>46009</v>
      </c>
      <c r="B238">
        <v>77</v>
      </c>
      <c r="C238" t="s">
        <v>18</v>
      </c>
      <c r="D238" t="s">
        <v>216</v>
      </c>
      <c r="E238" t="s">
        <v>11</v>
      </c>
      <c r="G238" s="1">
        <v>46048</v>
      </c>
      <c r="H238">
        <v>5</v>
      </c>
      <c r="I238">
        <v>12</v>
      </c>
      <c r="J238">
        <v>18</v>
      </c>
      <c r="K238">
        <v>2025</v>
      </c>
    </row>
    <row r="239" spans="1:11" x14ac:dyDescent="0.25">
      <c r="A239" s="1">
        <v>46009</v>
      </c>
      <c r="B239">
        <v>78</v>
      </c>
      <c r="C239" t="s">
        <v>26</v>
      </c>
      <c r="D239" t="s">
        <v>217</v>
      </c>
      <c r="E239" t="s">
        <v>10</v>
      </c>
      <c r="F239" t="s">
        <v>240</v>
      </c>
      <c r="G239" s="1">
        <v>46048</v>
      </c>
      <c r="H239">
        <v>5</v>
      </c>
      <c r="I239">
        <v>12</v>
      </c>
      <c r="J239">
        <v>18</v>
      </c>
      <c r="K239">
        <v>2025</v>
      </c>
    </row>
    <row r="240" spans="1:11" x14ac:dyDescent="0.25">
      <c r="A240" s="1">
        <v>46034</v>
      </c>
      <c r="B240">
        <v>79</v>
      </c>
      <c r="C240" t="s">
        <v>26</v>
      </c>
      <c r="D240" t="s">
        <v>231</v>
      </c>
      <c r="E240" t="s">
        <v>10</v>
      </c>
      <c r="F240" t="s">
        <v>232</v>
      </c>
      <c r="G240" s="1">
        <v>46048</v>
      </c>
      <c r="H240">
        <v>5</v>
      </c>
      <c r="I240">
        <v>1</v>
      </c>
      <c r="J240">
        <v>12</v>
      </c>
      <c r="K240">
        <v>2026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DA81B-ED69-48CD-A481-1A4EE8B2825B}">
  <sheetPr codeName="Sheet2"/>
  <dimension ref="A1:A11"/>
  <sheetViews>
    <sheetView workbookViewId="0">
      <selection sqref="A1:A13"/>
    </sheetView>
  </sheetViews>
  <sheetFormatPr defaultRowHeight="15" x14ac:dyDescent="0.25"/>
  <cols>
    <col min="1" max="2" width="14.28515625" customWidth="1"/>
  </cols>
  <sheetData>
    <row r="1" spans="1:1" x14ac:dyDescent="0.25">
      <c r="A1" t="s">
        <v>26</v>
      </c>
    </row>
    <row r="2" spans="1:1" x14ac:dyDescent="0.25">
      <c r="A2" t="s">
        <v>18</v>
      </c>
    </row>
    <row r="3" spans="1:1" x14ac:dyDescent="0.25">
      <c r="A3" t="s">
        <v>38</v>
      </c>
    </row>
    <row r="4" spans="1:1" x14ac:dyDescent="0.25">
      <c r="A4" t="s">
        <v>23</v>
      </c>
    </row>
    <row r="5" spans="1:1" x14ac:dyDescent="0.25">
      <c r="A5" t="s">
        <v>19</v>
      </c>
    </row>
    <row r="6" spans="1:1" x14ac:dyDescent="0.25">
      <c r="A6" t="s">
        <v>14</v>
      </c>
    </row>
    <row r="7" spans="1:1" x14ac:dyDescent="0.25">
      <c r="A7" t="s">
        <v>17</v>
      </c>
    </row>
    <row r="8" spans="1:1" x14ac:dyDescent="0.25">
      <c r="A8" t="s">
        <v>20</v>
      </c>
    </row>
    <row r="9" spans="1:1" x14ac:dyDescent="0.25">
      <c r="A9" t="s">
        <v>15</v>
      </c>
    </row>
    <row r="10" spans="1:1" x14ac:dyDescent="0.25">
      <c r="A10" t="s">
        <v>16</v>
      </c>
    </row>
    <row r="11" spans="1:1" x14ac:dyDescent="0.25">
      <c r="A11" t="s">
        <v>152</v>
      </c>
    </row>
  </sheetData>
  <sortState xmlns:xlrd2="http://schemas.microsoft.com/office/spreadsheetml/2017/richdata2" ref="A1:A10">
    <sortCondition ref="A1:A10"/>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75CBB7-5E98-4E33-8981-818D8916627D}">
  <sheetPr codeName="Sheet3"/>
  <dimension ref="A1:C11"/>
  <sheetViews>
    <sheetView workbookViewId="0">
      <selection activeCell="C24" sqref="C24"/>
    </sheetView>
  </sheetViews>
  <sheetFormatPr defaultRowHeight="15" x14ac:dyDescent="0.25"/>
  <cols>
    <col min="1" max="1" width="27.85546875" bestFit="1" customWidth="1"/>
    <col min="2" max="2" width="41.140625" bestFit="1" customWidth="1"/>
    <col min="3" max="3" width="47.140625" bestFit="1" customWidth="1"/>
  </cols>
  <sheetData>
    <row r="1" spans="1:3" ht="18.75" x14ac:dyDescent="0.3">
      <c r="A1" s="9" t="s">
        <v>170</v>
      </c>
    </row>
    <row r="3" spans="1:3" x14ac:dyDescent="0.25">
      <c r="A3" s="10" t="s">
        <v>171</v>
      </c>
      <c r="B3" s="10" t="s">
        <v>172</v>
      </c>
      <c r="C3" s="10" t="s">
        <v>1</v>
      </c>
    </row>
    <row r="4" spans="1:3" x14ac:dyDescent="0.25">
      <c r="A4" s="11" t="s">
        <v>173</v>
      </c>
      <c r="B4" s="12" t="s">
        <v>191</v>
      </c>
      <c r="C4" s="11" t="s">
        <v>174</v>
      </c>
    </row>
    <row r="5" spans="1:3" x14ac:dyDescent="0.25">
      <c r="A5" s="11" t="s">
        <v>175</v>
      </c>
      <c r="B5" s="11"/>
      <c r="C5" s="11" t="s">
        <v>176</v>
      </c>
    </row>
    <row r="6" spans="1:3" x14ac:dyDescent="0.25">
      <c r="A6" s="11" t="s">
        <v>177</v>
      </c>
      <c r="B6" s="11">
        <v>14</v>
      </c>
      <c r="C6" s="11" t="s">
        <v>178</v>
      </c>
    </row>
    <row r="7" spans="1:3" x14ac:dyDescent="0.25">
      <c r="A7" s="11" t="s">
        <v>179</v>
      </c>
      <c r="B7" s="11">
        <v>10</v>
      </c>
      <c r="C7" s="11" t="s">
        <v>180</v>
      </c>
    </row>
    <row r="8" spans="1:3" x14ac:dyDescent="0.25">
      <c r="A8" s="11" t="s">
        <v>181</v>
      </c>
      <c r="B8" s="11" t="s">
        <v>182</v>
      </c>
      <c r="C8" s="11" t="s">
        <v>183</v>
      </c>
    </row>
    <row r="9" spans="1:3" x14ac:dyDescent="0.25">
      <c r="A9" s="11" t="s">
        <v>184</v>
      </c>
      <c r="B9" s="11" t="s">
        <v>182</v>
      </c>
      <c r="C9" s="11" t="s">
        <v>185</v>
      </c>
    </row>
    <row r="10" spans="1:3" x14ac:dyDescent="0.25">
      <c r="A10" s="11" t="s">
        <v>186</v>
      </c>
      <c r="B10" s="11" t="s">
        <v>182</v>
      </c>
      <c r="C10" s="11" t="s">
        <v>187</v>
      </c>
    </row>
    <row r="11" spans="1:3" x14ac:dyDescent="0.25">
      <c r="A11" s="11" t="s">
        <v>188</v>
      </c>
      <c r="B11" s="11" t="s">
        <v>189</v>
      </c>
      <c r="C11" s="11" t="s">
        <v>190</v>
      </c>
    </row>
  </sheetData>
  <dataValidations count="1">
    <dataValidation type="list" allowBlank="1" showInputMessage="1" showErrorMessage="1" sqref="B8:B10" xr:uid="{FFE95A39-9CD7-4AD9-A85A-67A215F81C9A}">
      <formula1>"Yes,No"</formula1>
    </dataValidation>
  </dataValidations>
  <hyperlinks>
    <hyperlink ref="B4" r:id="rId1" xr:uid="{04E9A44B-E4A7-4318-B13F-8333792FB4AC}"/>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Source</vt:lpstr>
      <vt:lpstr>Historical</vt:lpstr>
      <vt:lpstr>Helper</vt:lpstr>
      <vt:lpstr>ReportSettings</vt:lpstr>
    </vt:vector>
  </TitlesOfParts>
  <Company>Northrop Grumman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Georgeson, Nick [US] (AS)</dc:creator>
  <cp:lastModifiedBy>Georgeson, Nick [US] (AS)</cp:lastModifiedBy>
  <dcterms:created xsi:type="dcterms:W3CDTF">2025-11-17T17:05:56Z</dcterms:created>
  <dcterms:modified xsi:type="dcterms:W3CDTF">2026-01-26T18:55:33Z</dcterms:modified>
</cp:coreProperties>
</file>